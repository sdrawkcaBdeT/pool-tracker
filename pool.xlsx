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1000001_{EFEA4892-44EB-1F49-BE27-ABD7D7D21819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Sheet5" sheetId="1" r:id="rId1"/>
    <sheet name="Sheet9" sheetId="2" r:id="rId2"/>
    <sheet name="Sheet2" sheetId="3" r:id="rId3"/>
    <sheet name="Sheet1" sheetId="4" r:id="rId4"/>
  </sheets>
  <definedNames>
    <definedName name="solver_eng" localSheetId="3">1</definedName>
    <definedName name="solver_neg" localSheetId="3">1</definedName>
    <definedName name="solver_num" localSheetId="3">0</definedName>
    <definedName name="solver_opt" localSheetId="3">Sheet1!$F$2</definedName>
    <definedName name="solver_typ" localSheetId="3">1</definedName>
    <definedName name="solver_val" localSheetId="3">0</definedName>
    <definedName name="solver_ver" localSheetId="3">3</definedName>
  </definedNames>
  <calcPr calcId="191028"/>
  <pivotCaches>
    <pivotCache cacheId="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gVsNRpBkY8Q6E0izwbdJgdrvBNvg=="/>
    </ext>
  </extLst>
</workbook>
</file>

<file path=xl/calcChain.xml><?xml version="1.0" encoding="utf-8"?>
<calcChain xmlns="http://schemas.openxmlformats.org/spreadsheetml/2006/main">
  <c r="B611" i="4" l="1"/>
  <c r="B610" i="4"/>
  <c r="A617" i="4"/>
  <c r="B617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Q2" i="4"/>
  <c r="P2" i="4"/>
  <c r="B609" i="4"/>
  <c r="B612" i="4"/>
  <c r="B613" i="4"/>
  <c r="B608" i="4"/>
  <c r="B607" i="4"/>
  <c r="B606" i="4"/>
  <c r="B604" i="4"/>
  <c r="B605" i="4"/>
  <c r="B603" i="4"/>
  <c r="B597" i="4"/>
  <c r="B598" i="4"/>
  <c r="B599" i="4"/>
  <c r="B600" i="4"/>
  <c r="B601" i="4"/>
  <c r="B602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C617" i="4"/>
  <c r="D617" i="4"/>
  <c r="O548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M548" i="4"/>
  <c r="L548" i="4"/>
  <c r="O547" i="4"/>
  <c r="M547" i="4"/>
  <c r="L547" i="4"/>
  <c r="O546" i="4"/>
  <c r="M546" i="4"/>
  <c r="L546" i="4"/>
  <c r="O545" i="4"/>
  <c r="M545" i="4"/>
  <c r="L545" i="4"/>
  <c r="O544" i="4"/>
  <c r="M544" i="4"/>
  <c r="L544" i="4"/>
  <c r="O543" i="4"/>
  <c r="M543" i="4"/>
  <c r="L543" i="4"/>
  <c r="O542" i="4"/>
  <c r="M542" i="4"/>
  <c r="L542" i="4"/>
  <c r="O541" i="4"/>
  <c r="M541" i="4"/>
  <c r="L541" i="4"/>
  <c r="O540" i="4"/>
  <c r="M540" i="4"/>
  <c r="L540" i="4"/>
  <c r="O539" i="4"/>
  <c r="M539" i="4"/>
  <c r="L539" i="4"/>
  <c r="O538" i="4"/>
  <c r="M538" i="4"/>
  <c r="L538" i="4"/>
  <c r="O537" i="4"/>
  <c r="M537" i="4"/>
  <c r="L537" i="4"/>
  <c r="O536" i="4"/>
  <c r="M536" i="4"/>
  <c r="L536" i="4"/>
  <c r="O535" i="4"/>
  <c r="M535" i="4"/>
  <c r="L535" i="4"/>
  <c r="O534" i="4"/>
  <c r="M534" i="4"/>
  <c r="L534" i="4"/>
  <c r="O533" i="4"/>
  <c r="M533" i="4"/>
  <c r="L533" i="4"/>
  <c r="O532" i="4"/>
  <c r="M532" i="4"/>
  <c r="L532" i="4"/>
  <c r="O531" i="4"/>
  <c r="M531" i="4"/>
  <c r="L531" i="4"/>
  <c r="O530" i="4"/>
  <c r="M530" i="4"/>
  <c r="L530" i="4"/>
  <c r="O529" i="4"/>
  <c r="M529" i="4"/>
  <c r="L529" i="4"/>
  <c r="O528" i="4"/>
  <c r="M528" i="4"/>
  <c r="L528" i="4"/>
  <c r="O527" i="4"/>
  <c r="M527" i="4"/>
  <c r="L527" i="4"/>
  <c r="O526" i="4"/>
  <c r="M526" i="4"/>
  <c r="L526" i="4"/>
  <c r="O525" i="4"/>
  <c r="M525" i="4"/>
  <c r="L525" i="4"/>
  <c r="O524" i="4"/>
  <c r="M524" i="4"/>
  <c r="L524" i="4"/>
  <c r="O523" i="4"/>
  <c r="M523" i="4"/>
  <c r="L523" i="4"/>
  <c r="O522" i="4"/>
  <c r="M522" i="4"/>
  <c r="L522" i="4"/>
  <c r="O521" i="4"/>
  <c r="M521" i="4"/>
  <c r="L521" i="4"/>
  <c r="O520" i="4"/>
  <c r="M520" i="4"/>
  <c r="L520" i="4"/>
  <c r="O519" i="4"/>
  <c r="M519" i="4"/>
  <c r="L519" i="4"/>
  <c r="O518" i="4"/>
  <c r="M518" i="4"/>
  <c r="L518" i="4"/>
  <c r="O517" i="4"/>
  <c r="M517" i="4"/>
  <c r="L517" i="4"/>
  <c r="O516" i="4"/>
  <c r="M516" i="4"/>
  <c r="L516" i="4"/>
  <c r="O515" i="4"/>
  <c r="M515" i="4"/>
  <c r="L515" i="4"/>
  <c r="O514" i="4"/>
  <c r="M514" i="4"/>
  <c r="L514" i="4"/>
  <c r="O513" i="4"/>
  <c r="M513" i="4"/>
  <c r="L513" i="4"/>
  <c r="O512" i="4"/>
  <c r="M512" i="4"/>
  <c r="L512" i="4"/>
  <c r="O511" i="4"/>
  <c r="M511" i="4"/>
  <c r="L511" i="4"/>
  <c r="O510" i="4"/>
  <c r="M510" i="4"/>
  <c r="L510" i="4"/>
  <c r="O509" i="4"/>
  <c r="M509" i="4"/>
  <c r="L509" i="4"/>
  <c r="O508" i="4"/>
  <c r="M508" i="4"/>
  <c r="L508" i="4"/>
  <c r="O507" i="4"/>
  <c r="M507" i="4"/>
  <c r="L507" i="4"/>
  <c r="O506" i="4"/>
  <c r="M506" i="4"/>
  <c r="L506" i="4"/>
  <c r="O505" i="4"/>
  <c r="M505" i="4"/>
  <c r="L505" i="4"/>
  <c r="O504" i="4"/>
  <c r="M504" i="4"/>
  <c r="L504" i="4"/>
  <c r="O503" i="4"/>
  <c r="M503" i="4"/>
  <c r="L503" i="4"/>
  <c r="O502" i="4"/>
  <c r="M502" i="4"/>
  <c r="L502" i="4"/>
  <c r="O501" i="4"/>
  <c r="M501" i="4"/>
  <c r="L501" i="4"/>
  <c r="O500" i="4"/>
  <c r="M500" i="4"/>
  <c r="L500" i="4"/>
  <c r="O499" i="4"/>
  <c r="M499" i="4"/>
  <c r="L499" i="4"/>
  <c r="O498" i="4"/>
  <c r="M498" i="4"/>
  <c r="L498" i="4"/>
  <c r="O497" i="4"/>
  <c r="M497" i="4"/>
  <c r="L497" i="4"/>
  <c r="O496" i="4"/>
  <c r="M496" i="4"/>
  <c r="L496" i="4"/>
  <c r="O495" i="4"/>
  <c r="M495" i="4"/>
  <c r="L495" i="4"/>
  <c r="O494" i="4"/>
  <c r="M494" i="4"/>
  <c r="L494" i="4"/>
  <c r="O493" i="4"/>
  <c r="M493" i="4"/>
  <c r="L493" i="4"/>
  <c r="O492" i="4"/>
  <c r="M492" i="4"/>
  <c r="L492" i="4"/>
  <c r="O491" i="4"/>
  <c r="M491" i="4"/>
  <c r="L491" i="4"/>
  <c r="O490" i="4"/>
  <c r="M490" i="4"/>
  <c r="L490" i="4"/>
  <c r="O489" i="4"/>
  <c r="M489" i="4"/>
  <c r="L489" i="4"/>
  <c r="O488" i="4"/>
  <c r="M488" i="4"/>
  <c r="L488" i="4"/>
  <c r="O487" i="4"/>
  <c r="M487" i="4"/>
  <c r="L487" i="4"/>
  <c r="O486" i="4"/>
  <c r="M486" i="4"/>
  <c r="L486" i="4"/>
  <c r="O485" i="4"/>
  <c r="M485" i="4"/>
  <c r="L485" i="4"/>
  <c r="O484" i="4"/>
  <c r="M484" i="4"/>
  <c r="L484" i="4"/>
  <c r="O483" i="4"/>
  <c r="M483" i="4"/>
  <c r="L483" i="4"/>
  <c r="O482" i="4"/>
  <c r="M482" i="4"/>
  <c r="L482" i="4"/>
  <c r="O481" i="4"/>
  <c r="M481" i="4"/>
  <c r="L481" i="4"/>
  <c r="O480" i="4"/>
  <c r="M480" i="4"/>
  <c r="L480" i="4"/>
  <c r="O479" i="4"/>
  <c r="M479" i="4"/>
  <c r="L479" i="4"/>
  <c r="O478" i="4"/>
  <c r="M478" i="4"/>
  <c r="L478" i="4"/>
  <c r="O477" i="4"/>
  <c r="M477" i="4"/>
  <c r="L477" i="4"/>
  <c r="O476" i="4"/>
  <c r="M476" i="4"/>
  <c r="L476" i="4"/>
  <c r="O475" i="4"/>
  <c r="M475" i="4"/>
  <c r="L475" i="4"/>
  <c r="O474" i="4"/>
  <c r="M474" i="4"/>
  <c r="L474" i="4"/>
  <c r="O473" i="4"/>
  <c r="M473" i="4"/>
  <c r="L473" i="4"/>
  <c r="O472" i="4"/>
  <c r="M472" i="4"/>
  <c r="L472" i="4"/>
  <c r="O471" i="4"/>
  <c r="M471" i="4"/>
  <c r="L471" i="4"/>
  <c r="O470" i="4"/>
  <c r="M470" i="4"/>
  <c r="L470" i="4"/>
  <c r="O469" i="4"/>
  <c r="M469" i="4"/>
  <c r="L469" i="4"/>
  <c r="O468" i="4"/>
  <c r="M468" i="4"/>
  <c r="L468" i="4"/>
  <c r="O467" i="4"/>
  <c r="M467" i="4"/>
  <c r="L467" i="4"/>
  <c r="O466" i="4"/>
  <c r="M466" i="4"/>
  <c r="L466" i="4"/>
  <c r="O465" i="4"/>
  <c r="M465" i="4"/>
  <c r="L465" i="4"/>
  <c r="O464" i="4"/>
  <c r="M464" i="4"/>
  <c r="L464" i="4"/>
  <c r="O463" i="4"/>
  <c r="M463" i="4"/>
  <c r="L463" i="4"/>
  <c r="O462" i="4"/>
  <c r="M462" i="4"/>
  <c r="L462" i="4"/>
  <c r="O461" i="4"/>
  <c r="M461" i="4"/>
  <c r="L461" i="4"/>
  <c r="O460" i="4"/>
  <c r="M460" i="4"/>
  <c r="L460" i="4"/>
  <c r="O459" i="4"/>
  <c r="M459" i="4"/>
  <c r="L459" i="4"/>
  <c r="O458" i="4"/>
  <c r="M458" i="4"/>
  <c r="L458" i="4"/>
  <c r="O457" i="4"/>
  <c r="M457" i="4"/>
  <c r="L457" i="4"/>
  <c r="O456" i="4"/>
  <c r="M456" i="4"/>
  <c r="L456" i="4"/>
  <c r="O455" i="4"/>
  <c r="M455" i="4"/>
  <c r="L455" i="4"/>
  <c r="O454" i="4"/>
  <c r="M454" i="4"/>
  <c r="L454" i="4"/>
  <c r="O453" i="4"/>
  <c r="M453" i="4"/>
  <c r="L453" i="4"/>
  <c r="O452" i="4"/>
  <c r="M452" i="4"/>
  <c r="L452" i="4"/>
  <c r="O451" i="4"/>
  <c r="M451" i="4"/>
  <c r="L451" i="4"/>
  <c r="O450" i="4"/>
  <c r="M450" i="4"/>
  <c r="L450" i="4"/>
  <c r="O449" i="4"/>
  <c r="M449" i="4"/>
  <c r="L449" i="4"/>
  <c r="O448" i="4"/>
  <c r="M448" i="4"/>
  <c r="L448" i="4"/>
  <c r="O447" i="4"/>
  <c r="M447" i="4"/>
  <c r="L447" i="4"/>
  <c r="O446" i="4"/>
  <c r="M446" i="4"/>
  <c r="L446" i="4"/>
  <c r="O445" i="4"/>
  <c r="M445" i="4"/>
  <c r="L445" i="4"/>
  <c r="O444" i="4"/>
  <c r="M444" i="4"/>
  <c r="L444" i="4"/>
  <c r="O443" i="4"/>
  <c r="M443" i="4"/>
  <c r="L443" i="4"/>
  <c r="O442" i="4"/>
  <c r="M442" i="4"/>
  <c r="L442" i="4"/>
  <c r="O441" i="4"/>
  <c r="M441" i="4"/>
  <c r="L441" i="4"/>
  <c r="O440" i="4"/>
  <c r="M440" i="4"/>
  <c r="L440" i="4"/>
  <c r="O439" i="4"/>
  <c r="M439" i="4"/>
  <c r="L439" i="4"/>
  <c r="O438" i="4"/>
  <c r="M438" i="4"/>
  <c r="L438" i="4"/>
  <c r="O437" i="4"/>
  <c r="M437" i="4"/>
  <c r="L437" i="4"/>
  <c r="O436" i="4"/>
  <c r="M436" i="4"/>
  <c r="L436" i="4"/>
  <c r="O435" i="4"/>
  <c r="M435" i="4"/>
  <c r="L435" i="4"/>
  <c r="O434" i="4"/>
  <c r="M434" i="4"/>
  <c r="L434" i="4"/>
  <c r="O433" i="4"/>
  <c r="M433" i="4"/>
  <c r="L433" i="4"/>
  <c r="O432" i="4"/>
  <c r="M432" i="4"/>
  <c r="L432" i="4"/>
  <c r="O431" i="4"/>
  <c r="M431" i="4"/>
  <c r="L431" i="4"/>
  <c r="O430" i="4"/>
  <c r="M430" i="4"/>
  <c r="L430" i="4"/>
  <c r="O429" i="4"/>
  <c r="M429" i="4"/>
  <c r="L429" i="4"/>
  <c r="O428" i="4"/>
  <c r="M428" i="4"/>
  <c r="L428" i="4"/>
  <c r="O427" i="4"/>
  <c r="M427" i="4"/>
  <c r="L427" i="4"/>
  <c r="O426" i="4"/>
  <c r="M426" i="4"/>
  <c r="L426" i="4"/>
  <c r="O425" i="4"/>
  <c r="M425" i="4"/>
  <c r="L425" i="4"/>
  <c r="O424" i="4"/>
  <c r="M424" i="4"/>
  <c r="L424" i="4"/>
  <c r="O423" i="4"/>
  <c r="M423" i="4"/>
  <c r="L423" i="4"/>
  <c r="O422" i="4"/>
  <c r="M422" i="4"/>
  <c r="L422" i="4"/>
  <c r="O421" i="4"/>
  <c r="M421" i="4"/>
  <c r="L421" i="4"/>
  <c r="O420" i="4"/>
  <c r="M420" i="4"/>
  <c r="L420" i="4"/>
  <c r="O419" i="4"/>
  <c r="M419" i="4"/>
  <c r="L419" i="4"/>
  <c r="O418" i="4"/>
  <c r="M418" i="4"/>
  <c r="L418" i="4"/>
  <c r="O417" i="4"/>
  <c r="M417" i="4"/>
  <c r="L417" i="4"/>
  <c r="O416" i="4"/>
  <c r="M416" i="4"/>
  <c r="L416" i="4"/>
  <c r="O415" i="4"/>
  <c r="M415" i="4"/>
  <c r="L415" i="4"/>
  <c r="O414" i="4"/>
  <c r="M414" i="4"/>
  <c r="L414" i="4"/>
  <c r="O413" i="4"/>
  <c r="M413" i="4"/>
  <c r="L413" i="4"/>
  <c r="O412" i="4"/>
  <c r="M412" i="4"/>
  <c r="L412" i="4"/>
  <c r="O411" i="4"/>
  <c r="M411" i="4"/>
  <c r="L411" i="4"/>
  <c r="O410" i="4"/>
  <c r="M410" i="4"/>
  <c r="L410" i="4"/>
  <c r="O409" i="4"/>
  <c r="M409" i="4"/>
  <c r="L409" i="4"/>
  <c r="O408" i="4"/>
  <c r="M408" i="4"/>
  <c r="L408" i="4"/>
  <c r="O407" i="4"/>
  <c r="M407" i="4"/>
  <c r="L407" i="4"/>
  <c r="O406" i="4"/>
  <c r="M406" i="4"/>
  <c r="L406" i="4"/>
  <c r="O405" i="4"/>
  <c r="M405" i="4"/>
  <c r="L405" i="4"/>
  <c r="O404" i="4"/>
  <c r="M404" i="4"/>
  <c r="L404" i="4"/>
  <c r="O403" i="4"/>
  <c r="M403" i="4"/>
  <c r="L403" i="4"/>
  <c r="O402" i="4"/>
  <c r="M402" i="4"/>
  <c r="L402" i="4"/>
  <c r="O401" i="4"/>
  <c r="M401" i="4"/>
  <c r="L401" i="4"/>
  <c r="O400" i="4"/>
  <c r="M400" i="4"/>
  <c r="L400" i="4"/>
  <c r="O399" i="4"/>
  <c r="M399" i="4"/>
  <c r="L399" i="4"/>
  <c r="O398" i="4"/>
  <c r="M398" i="4"/>
  <c r="L398" i="4"/>
  <c r="O397" i="4"/>
  <c r="M397" i="4"/>
  <c r="L397" i="4"/>
  <c r="O396" i="4"/>
  <c r="M396" i="4"/>
  <c r="L396" i="4"/>
  <c r="O395" i="4"/>
  <c r="M395" i="4"/>
  <c r="L395" i="4"/>
  <c r="O394" i="4"/>
  <c r="M394" i="4"/>
  <c r="L394" i="4"/>
  <c r="O393" i="4"/>
  <c r="M393" i="4"/>
  <c r="L393" i="4"/>
  <c r="O392" i="4"/>
  <c r="M392" i="4"/>
  <c r="L392" i="4"/>
  <c r="O391" i="4"/>
  <c r="M391" i="4"/>
  <c r="L391" i="4"/>
  <c r="O390" i="4"/>
  <c r="M390" i="4"/>
  <c r="L390" i="4"/>
  <c r="O389" i="4"/>
  <c r="M389" i="4"/>
  <c r="L389" i="4"/>
  <c r="O388" i="4"/>
  <c r="M388" i="4"/>
  <c r="L388" i="4"/>
  <c r="O387" i="4"/>
  <c r="M387" i="4"/>
  <c r="L387" i="4"/>
  <c r="O386" i="4"/>
  <c r="M386" i="4"/>
  <c r="L386" i="4"/>
  <c r="O385" i="4"/>
  <c r="M385" i="4"/>
  <c r="L385" i="4"/>
  <c r="O384" i="4"/>
  <c r="M384" i="4"/>
  <c r="L384" i="4"/>
  <c r="O383" i="4"/>
  <c r="M383" i="4"/>
  <c r="L383" i="4"/>
  <c r="O382" i="4"/>
  <c r="M382" i="4"/>
  <c r="L382" i="4"/>
  <c r="O381" i="4"/>
  <c r="M381" i="4"/>
  <c r="L381" i="4"/>
  <c r="O380" i="4"/>
  <c r="M380" i="4"/>
  <c r="L380" i="4"/>
  <c r="O379" i="4"/>
  <c r="M379" i="4"/>
  <c r="L379" i="4"/>
  <c r="O378" i="4"/>
  <c r="M378" i="4"/>
  <c r="L378" i="4"/>
  <c r="O377" i="4"/>
  <c r="M377" i="4"/>
  <c r="L377" i="4"/>
  <c r="O376" i="4"/>
  <c r="M376" i="4"/>
  <c r="L376" i="4"/>
  <c r="O375" i="4"/>
  <c r="M375" i="4"/>
  <c r="L375" i="4"/>
  <c r="O374" i="4"/>
  <c r="M374" i="4"/>
  <c r="L374" i="4"/>
  <c r="O373" i="4"/>
  <c r="M373" i="4"/>
  <c r="L373" i="4"/>
  <c r="O372" i="4"/>
  <c r="M372" i="4"/>
  <c r="L372" i="4"/>
  <c r="O371" i="4"/>
  <c r="M371" i="4"/>
  <c r="L371" i="4"/>
  <c r="O370" i="4"/>
  <c r="M370" i="4"/>
  <c r="L370" i="4"/>
  <c r="O369" i="4"/>
  <c r="M369" i="4"/>
  <c r="L369" i="4"/>
  <c r="O368" i="4"/>
  <c r="M368" i="4"/>
  <c r="L368" i="4"/>
  <c r="O367" i="4"/>
  <c r="M367" i="4"/>
  <c r="L367" i="4"/>
  <c r="O366" i="4"/>
  <c r="M366" i="4"/>
  <c r="L366" i="4"/>
  <c r="O365" i="4"/>
  <c r="M365" i="4"/>
  <c r="L365" i="4"/>
  <c r="O364" i="4"/>
  <c r="M364" i="4"/>
  <c r="L364" i="4"/>
  <c r="O363" i="4"/>
  <c r="M363" i="4"/>
  <c r="L363" i="4"/>
  <c r="O362" i="4"/>
  <c r="M362" i="4"/>
  <c r="L362" i="4"/>
  <c r="O361" i="4"/>
  <c r="M361" i="4"/>
  <c r="L361" i="4"/>
  <c r="O360" i="4"/>
  <c r="M360" i="4"/>
  <c r="L360" i="4"/>
  <c r="O359" i="4"/>
  <c r="M359" i="4"/>
  <c r="L359" i="4"/>
  <c r="O358" i="4"/>
  <c r="M358" i="4"/>
  <c r="L358" i="4"/>
  <c r="O357" i="4"/>
  <c r="M357" i="4"/>
  <c r="L357" i="4"/>
  <c r="O356" i="4"/>
  <c r="M356" i="4"/>
  <c r="L356" i="4"/>
  <c r="O355" i="4"/>
  <c r="M355" i="4"/>
  <c r="L355" i="4"/>
  <c r="O354" i="4"/>
  <c r="M354" i="4"/>
  <c r="L354" i="4"/>
  <c r="O353" i="4"/>
  <c r="M353" i="4"/>
  <c r="L353" i="4"/>
  <c r="O352" i="4"/>
  <c r="M352" i="4"/>
  <c r="L352" i="4"/>
  <c r="O351" i="4"/>
  <c r="M351" i="4"/>
  <c r="L351" i="4"/>
  <c r="O350" i="4"/>
  <c r="M350" i="4"/>
  <c r="L350" i="4"/>
  <c r="O349" i="4"/>
  <c r="M349" i="4"/>
  <c r="L349" i="4"/>
  <c r="O348" i="4"/>
  <c r="M348" i="4"/>
  <c r="L348" i="4"/>
  <c r="O347" i="4"/>
  <c r="M347" i="4"/>
  <c r="L347" i="4"/>
  <c r="O346" i="4"/>
  <c r="M346" i="4"/>
  <c r="L346" i="4"/>
  <c r="O345" i="4"/>
  <c r="M345" i="4"/>
  <c r="L345" i="4"/>
  <c r="O344" i="4"/>
  <c r="M344" i="4"/>
  <c r="L344" i="4"/>
  <c r="O343" i="4"/>
  <c r="M343" i="4"/>
  <c r="L343" i="4"/>
  <c r="O342" i="4"/>
  <c r="M342" i="4"/>
  <c r="L342" i="4"/>
  <c r="O341" i="4"/>
  <c r="M341" i="4"/>
  <c r="L341" i="4"/>
  <c r="O340" i="4"/>
  <c r="M340" i="4"/>
  <c r="L340" i="4"/>
  <c r="O339" i="4"/>
  <c r="M339" i="4"/>
  <c r="L339" i="4"/>
  <c r="O338" i="4"/>
  <c r="M338" i="4"/>
  <c r="L338" i="4"/>
  <c r="O337" i="4"/>
  <c r="M337" i="4"/>
  <c r="L337" i="4"/>
  <c r="O336" i="4"/>
  <c r="M336" i="4"/>
  <c r="L336" i="4"/>
  <c r="O335" i="4"/>
  <c r="M335" i="4"/>
  <c r="L335" i="4"/>
  <c r="O334" i="4"/>
  <c r="M334" i="4"/>
  <c r="L334" i="4"/>
  <c r="O333" i="4"/>
  <c r="M333" i="4"/>
  <c r="L333" i="4"/>
  <c r="O332" i="4"/>
  <c r="M332" i="4"/>
  <c r="L332" i="4"/>
  <c r="O331" i="4"/>
  <c r="M331" i="4"/>
  <c r="L331" i="4"/>
  <c r="O330" i="4"/>
  <c r="M330" i="4"/>
  <c r="L330" i="4"/>
  <c r="O329" i="4"/>
  <c r="M329" i="4"/>
  <c r="L329" i="4"/>
  <c r="O328" i="4"/>
  <c r="M328" i="4"/>
  <c r="L328" i="4"/>
  <c r="O327" i="4"/>
  <c r="M327" i="4"/>
  <c r="L327" i="4"/>
  <c r="O326" i="4"/>
  <c r="M326" i="4"/>
  <c r="L326" i="4"/>
  <c r="O325" i="4"/>
  <c r="M325" i="4"/>
  <c r="L325" i="4"/>
  <c r="O324" i="4"/>
  <c r="M324" i="4"/>
  <c r="L324" i="4"/>
  <c r="O323" i="4"/>
  <c r="M323" i="4"/>
  <c r="L323" i="4"/>
  <c r="O322" i="4"/>
  <c r="M322" i="4"/>
  <c r="L322" i="4"/>
  <c r="O321" i="4"/>
  <c r="M321" i="4"/>
  <c r="L321" i="4"/>
  <c r="O320" i="4"/>
  <c r="M320" i="4"/>
  <c r="L320" i="4"/>
  <c r="O319" i="4"/>
  <c r="M319" i="4"/>
  <c r="L319" i="4"/>
  <c r="O318" i="4"/>
  <c r="M318" i="4"/>
  <c r="L318" i="4"/>
  <c r="O317" i="4"/>
  <c r="M317" i="4"/>
  <c r="L317" i="4"/>
  <c r="O316" i="4"/>
  <c r="M316" i="4"/>
  <c r="L316" i="4"/>
  <c r="O315" i="4"/>
  <c r="M315" i="4"/>
  <c r="L315" i="4"/>
  <c r="O314" i="4"/>
  <c r="M314" i="4"/>
  <c r="L314" i="4"/>
  <c r="O313" i="4"/>
  <c r="M313" i="4"/>
  <c r="L313" i="4"/>
  <c r="O312" i="4"/>
  <c r="M312" i="4"/>
  <c r="L312" i="4"/>
  <c r="O311" i="4"/>
  <c r="M311" i="4"/>
  <c r="L311" i="4"/>
  <c r="O310" i="4"/>
  <c r="M310" i="4"/>
  <c r="L310" i="4"/>
  <c r="O309" i="4"/>
  <c r="M309" i="4"/>
  <c r="L309" i="4"/>
  <c r="O308" i="4"/>
  <c r="M308" i="4"/>
  <c r="L308" i="4"/>
  <c r="O307" i="4"/>
  <c r="M307" i="4"/>
  <c r="L307" i="4"/>
  <c r="O306" i="4"/>
  <c r="M306" i="4"/>
  <c r="L306" i="4"/>
  <c r="O305" i="4"/>
  <c r="M305" i="4"/>
  <c r="L305" i="4"/>
  <c r="O304" i="4"/>
  <c r="M304" i="4"/>
  <c r="L304" i="4"/>
  <c r="O303" i="4"/>
  <c r="M303" i="4"/>
  <c r="L303" i="4"/>
  <c r="O302" i="4"/>
  <c r="M302" i="4"/>
  <c r="L302" i="4"/>
  <c r="O301" i="4"/>
  <c r="M301" i="4"/>
  <c r="L301" i="4"/>
  <c r="O300" i="4"/>
  <c r="M300" i="4"/>
  <c r="L300" i="4"/>
  <c r="O299" i="4"/>
  <c r="M299" i="4"/>
  <c r="L299" i="4"/>
  <c r="O298" i="4"/>
  <c r="M298" i="4"/>
  <c r="L298" i="4"/>
  <c r="O297" i="4"/>
  <c r="M297" i="4"/>
  <c r="L297" i="4"/>
  <c r="O296" i="4"/>
  <c r="M296" i="4"/>
  <c r="L296" i="4"/>
  <c r="O295" i="4"/>
  <c r="M295" i="4"/>
  <c r="L295" i="4"/>
  <c r="O294" i="4"/>
  <c r="M294" i="4"/>
  <c r="L294" i="4"/>
  <c r="O293" i="4"/>
  <c r="M293" i="4"/>
  <c r="L293" i="4"/>
  <c r="O292" i="4"/>
  <c r="M292" i="4"/>
  <c r="L292" i="4"/>
  <c r="O291" i="4"/>
  <c r="M291" i="4"/>
  <c r="L291" i="4"/>
  <c r="O290" i="4"/>
  <c r="M290" i="4"/>
  <c r="L290" i="4"/>
  <c r="O289" i="4"/>
  <c r="M289" i="4"/>
  <c r="L289" i="4"/>
  <c r="O288" i="4"/>
  <c r="M288" i="4"/>
  <c r="L288" i="4"/>
  <c r="O287" i="4"/>
  <c r="M287" i="4"/>
  <c r="L287" i="4"/>
  <c r="O286" i="4"/>
  <c r="M286" i="4"/>
  <c r="L286" i="4"/>
  <c r="O285" i="4"/>
  <c r="M285" i="4"/>
  <c r="L285" i="4"/>
  <c r="O284" i="4"/>
  <c r="M284" i="4"/>
  <c r="L284" i="4"/>
  <c r="O283" i="4"/>
  <c r="M283" i="4"/>
  <c r="L283" i="4"/>
  <c r="O282" i="4"/>
  <c r="M282" i="4"/>
  <c r="L282" i="4"/>
  <c r="O281" i="4"/>
  <c r="M281" i="4"/>
  <c r="L281" i="4"/>
  <c r="O280" i="4"/>
  <c r="M280" i="4"/>
  <c r="L280" i="4"/>
  <c r="O279" i="4"/>
  <c r="M279" i="4"/>
  <c r="L279" i="4"/>
  <c r="O278" i="4"/>
  <c r="M278" i="4"/>
  <c r="L278" i="4"/>
  <c r="O277" i="4"/>
  <c r="M277" i="4"/>
  <c r="L277" i="4"/>
  <c r="O276" i="4"/>
  <c r="M276" i="4"/>
  <c r="L276" i="4"/>
  <c r="O275" i="4"/>
  <c r="M275" i="4"/>
  <c r="L275" i="4"/>
  <c r="O274" i="4"/>
  <c r="M274" i="4"/>
  <c r="L274" i="4"/>
  <c r="O273" i="4"/>
  <c r="M273" i="4"/>
  <c r="L273" i="4"/>
  <c r="O272" i="4"/>
  <c r="M272" i="4"/>
  <c r="L272" i="4"/>
  <c r="O271" i="4"/>
  <c r="M271" i="4"/>
  <c r="L271" i="4"/>
  <c r="O270" i="4"/>
  <c r="M270" i="4"/>
  <c r="L270" i="4"/>
  <c r="O269" i="4"/>
  <c r="M269" i="4"/>
  <c r="L269" i="4"/>
  <c r="O268" i="4"/>
  <c r="M268" i="4"/>
  <c r="L268" i="4"/>
  <c r="O267" i="4"/>
  <c r="M267" i="4"/>
  <c r="L267" i="4"/>
  <c r="O266" i="4"/>
  <c r="M266" i="4"/>
  <c r="L266" i="4"/>
  <c r="O265" i="4"/>
  <c r="M265" i="4"/>
  <c r="L265" i="4"/>
  <c r="O264" i="4"/>
  <c r="M264" i="4"/>
  <c r="L264" i="4"/>
  <c r="O263" i="4"/>
  <c r="M263" i="4"/>
  <c r="L263" i="4"/>
  <c r="O262" i="4"/>
  <c r="M262" i="4"/>
  <c r="L262" i="4"/>
  <c r="O261" i="4"/>
  <c r="M261" i="4"/>
  <c r="L261" i="4"/>
  <c r="O260" i="4"/>
  <c r="M260" i="4"/>
  <c r="L260" i="4"/>
  <c r="O259" i="4"/>
  <c r="M259" i="4"/>
  <c r="L259" i="4"/>
  <c r="O258" i="4"/>
  <c r="M258" i="4"/>
  <c r="L258" i="4"/>
  <c r="O257" i="4"/>
  <c r="M257" i="4"/>
  <c r="L257" i="4"/>
  <c r="O256" i="4"/>
  <c r="M256" i="4"/>
  <c r="L256" i="4"/>
  <c r="O255" i="4"/>
  <c r="M255" i="4"/>
  <c r="L255" i="4"/>
  <c r="O254" i="4"/>
  <c r="M254" i="4"/>
  <c r="L254" i="4"/>
  <c r="O253" i="4"/>
  <c r="M253" i="4"/>
  <c r="L253" i="4"/>
  <c r="O252" i="4"/>
  <c r="M252" i="4"/>
  <c r="L252" i="4"/>
  <c r="O251" i="4"/>
  <c r="M251" i="4"/>
  <c r="L251" i="4"/>
  <c r="O250" i="4"/>
  <c r="M250" i="4"/>
  <c r="L250" i="4"/>
  <c r="O249" i="4"/>
  <c r="M249" i="4"/>
  <c r="L249" i="4"/>
  <c r="O248" i="4"/>
  <c r="M248" i="4"/>
  <c r="L248" i="4"/>
  <c r="O247" i="4"/>
  <c r="M247" i="4"/>
  <c r="L247" i="4"/>
  <c r="O246" i="4"/>
  <c r="M246" i="4"/>
  <c r="L246" i="4"/>
  <c r="O245" i="4"/>
  <c r="M245" i="4"/>
  <c r="L245" i="4"/>
  <c r="O244" i="4"/>
  <c r="M244" i="4"/>
  <c r="L244" i="4"/>
  <c r="O243" i="4"/>
  <c r="M243" i="4"/>
  <c r="L243" i="4"/>
  <c r="O242" i="4"/>
  <c r="M242" i="4"/>
  <c r="L242" i="4"/>
  <c r="O241" i="4"/>
  <c r="M241" i="4"/>
  <c r="L241" i="4"/>
  <c r="O240" i="4"/>
  <c r="M240" i="4"/>
  <c r="L240" i="4"/>
  <c r="O239" i="4"/>
  <c r="M239" i="4"/>
  <c r="L239" i="4"/>
  <c r="O238" i="4"/>
  <c r="M238" i="4"/>
  <c r="L238" i="4"/>
  <c r="O237" i="4"/>
  <c r="M237" i="4"/>
  <c r="L237" i="4"/>
  <c r="O236" i="4"/>
  <c r="M236" i="4"/>
  <c r="L236" i="4"/>
  <c r="O235" i="4"/>
  <c r="M235" i="4"/>
  <c r="L235" i="4"/>
  <c r="O234" i="4"/>
  <c r="M234" i="4"/>
  <c r="L234" i="4"/>
  <c r="O233" i="4"/>
  <c r="M233" i="4"/>
  <c r="L233" i="4"/>
  <c r="O232" i="4"/>
  <c r="M232" i="4"/>
  <c r="L232" i="4"/>
  <c r="O231" i="4"/>
  <c r="M231" i="4"/>
  <c r="L231" i="4"/>
  <c r="O230" i="4"/>
  <c r="M230" i="4"/>
  <c r="L230" i="4"/>
  <c r="O229" i="4"/>
  <c r="M229" i="4"/>
  <c r="L229" i="4"/>
  <c r="O228" i="4"/>
  <c r="M228" i="4"/>
  <c r="L228" i="4"/>
  <c r="O227" i="4"/>
  <c r="M227" i="4"/>
  <c r="L227" i="4"/>
  <c r="O226" i="4"/>
  <c r="M226" i="4"/>
  <c r="L226" i="4"/>
  <c r="O225" i="4"/>
  <c r="M225" i="4"/>
  <c r="L225" i="4"/>
  <c r="O224" i="4"/>
  <c r="M224" i="4"/>
  <c r="L224" i="4"/>
  <c r="O223" i="4"/>
  <c r="M223" i="4"/>
  <c r="L223" i="4"/>
  <c r="O222" i="4"/>
  <c r="M222" i="4"/>
  <c r="L222" i="4"/>
  <c r="O221" i="4"/>
  <c r="M221" i="4"/>
  <c r="L221" i="4"/>
  <c r="O220" i="4"/>
  <c r="M220" i="4"/>
  <c r="L220" i="4"/>
  <c r="O219" i="4"/>
  <c r="M219" i="4"/>
  <c r="L219" i="4"/>
  <c r="O218" i="4"/>
  <c r="M218" i="4"/>
  <c r="L218" i="4"/>
  <c r="O217" i="4"/>
  <c r="M217" i="4"/>
  <c r="L217" i="4"/>
  <c r="O216" i="4"/>
  <c r="M216" i="4"/>
  <c r="L216" i="4"/>
  <c r="O215" i="4"/>
  <c r="M215" i="4"/>
  <c r="L215" i="4"/>
  <c r="O214" i="4"/>
  <c r="M214" i="4"/>
  <c r="L214" i="4"/>
  <c r="O213" i="4"/>
  <c r="M213" i="4"/>
  <c r="L213" i="4"/>
  <c r="O212" i="4"/>
  <c r="M212" i="4"/>
  <c r="L212" i="4"/>
  <c r="O211" i="4"/>
  <c r="M211" i="4"/>
  <c r="L211" i="4"/>
  <c r="O210" i="4"/>
  <c r="M210" i="4"/>
  <c r="L210" i="4"/>
  <c r="O209" i="4"/>
  <c r="M209" i="4"/>
  <c r="L209" i="4"/>
  <c r="O208" i="4"/>
  <c r="M208" i="4"/>
  <c r="L208" i="4"/>
  <c r="O207" i="4"/>
  <c r="M207" i="4"/>
  <c r="L207" i="4"/>
  <c r="O206" i="4"/>
  <c r="M206" i="4"/>
  <c r="L206" i="4"/>
  <c r="O205" i="4"/>
  <c r="M205" i="4"/>
  <c r="L205" i="4"/>
  <c r="O204" i="4"/>
  <c r="M204" i="4"/>
  <c r="L204" i="4"/>
  <c r="O203" i="4"/>
  <c r="M203" i="4"/>
  <c r="L203" i="4"/>
  <c r="O202" i="4"/>
  <c r="M202" i="4"/>
  <c r="L202" i="4"/>
  <c r="O201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M8" i="4"/>
  <c r="M7" i="4"/>
  <c r="M6" i="4"/>
  <c r="M5" i="4"/>
  <c r="M4" i="4"/>
  <c r="M3" i="4"/>
  <c r="M2" i="4"/>
</calcChain>
</file>

<file path=xl/sharedStrings.xml><?xml version="1.0" encoding="utf-8"?>
<sst xmlns="http://schemas.openxmlformats.org/spreadsheetml/2006/main" count="2527" uniqueCount="122">
  <si>
    <t>win type</t>
  </si>
  <si>
    <t>break</t>
  </si>
  <si>
    <t>early 8</t>
  </si>
  <si>
    <t>regulation</t>
  </si>
  <si>
    <t>scratch on 8</t>
  </si>
  <si>
    <t xml:space="preserve">wrong pocket </t>
  </si>
  <si>
    <t>Grand Total</t>
  </si>
  <si>
    <t>dad</t>
  </si>
  <si>
    <t>ted</t>
  </si>
  <si>
    <t>win/loss</t>
  </si>
  <si>
    <t xml:space="preserve">opponent </t>
  </si>
  <si>
    <t>loser remainder</t>
  </si>
  <si>
    <t>(All)</t>
  </si>
  <si>
    <t>Average of win/loss</t>
  </si>
  <si>
    <t>Column Labels</t>
  </si>
  <si>
    <t>Row Labels</t>
  </si>
  <si>
    <t>Count of win/loss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</si>
  <si>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</si>
  <si>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</si>
  <si>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</si>
  <si>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</si>
  <si>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</si>
  <si>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</si>
  <si>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</si>
  <si>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</si>
  <si>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</si>
  <si>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</si>
  <si>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</si>
  <si>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</si>
  <si>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</si>
  <si>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</si>
  <si>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</si>
  <si>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</si>
  <si>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</si>
  <si>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</si>
  <si>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</si>
  <si>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</si>
  <si>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</si>
  <si>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</si>
  <si>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</si>
  <si>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</si>
  <si>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TedBreak(1=TRUE)</t>
  </si>
  <si>
    <t>RESIDUAL OUTPUT</t>
  </si>
  <si>
    <t>Observation</t>
  </si>
  <si>
    <t>Predicted win/loss</t>
  </si>
  <si>
    <t>Residuals</t>
  </si>
  <si>
    <t>date</t>
  </si>
  <si>
    <t>GameCount</t>
  </si>
  <si>
    <t xml:space="preserve">location </t>
  </si>
  <si>
    <t xml:space="preserve">winner remaining </t>
  </si>
  <si>
    <t>9-game rolling WR</t>
  </si>
  <si>
    <t>Win rate</t>
  </si>
  <si>
    <t>Cumulative Wins</t>
  </si>
  <si>
    <t>station 280</t>
  </si>
  <si>
    <t xml:space="preserve">Jered teammate </t>
  </si>
  <si>
    <t>adams</t>
  </si>
  <si>
    <t>adam, josh</t>
  </si>
  <si>
    <t>josh</t>
  </si>
  <si>
    <t>adam josh</t>
  </si>
  <si>
    <t>adam</t>
  </si>
  <si>
    <t>jered</t>
  </si>
  <si>
    <t xml:space="preserve">josh Jered </t>
  </si>
  <si>
    <t xml:space="preserve">adam team </t>
  </si>
  <si>
    <t>dad, josh</t>
  </si>
  <si>
    <t xml:space="preserve">cutthroat </t>
  </si>
  <si>
    <t xml:space="preserve">dad's house </t>
  </si>
  <si>
    <t xml:space="preserve">josh </t>
  </si>
  <si>
    <t>sportys</t>
  </si>
  <si>
    <t>riley</t>
  </si>
  <si>
    <t xml:space="preserve">uncle George </t>
  </si>
  <si>
    <t>dad, aaron</t>
  </si>
  <si>
    <t>Jered, dad</t>
  </si>
  <si>
    <t>con</t>
  </si>
  <si>
    <t>tobe</t>
  </si>
  <si>
    <t>ry</t>
  </si>
  <si>
    <t>kyle</t>
  </si>
  <si>
    <t>mike</t>
  </si>
  <si>
    <t>justin</t>
  </si>
  <si>
    <t>cardinals</t>
  </si>
  <si>
    <t>park tavern</t>
  </si>
  <si>
    <t>era clubhouse</t>
  </si>
  <si>
    <t>B.S. and Company (wolverine,mi)</t>
  </si>
  <si>
    <t>doug, dale</t>
  </si>
  <si>
    <t>dale</t>
  </si>
  <si>
    <t>SS Billiards</t>
  </si>
  <si>
    <t>adam, dad</t>
  </si>
  <si>
    <t>cutthroat</t>
  </si>
  <si>
    <t>adams house</t>
  </si>
  <si>
    <t>matt o</t>
  </si>
  <si>
    <t>jesse b</t>
  </si>
  <si>
    <t>devin</t>
  </si>
  <si>
    <t>mason</t>
  </si>
  <si>
    <t>uncle daves</t>
  </si>
  <si>
    <t>evan tonarelli</t>
  </si>
  <si>
    <t>luke ritter</t>
  </si>
  <si>
    <t>logan ritter</t>
  </si>
  <si>
    <t>wrong pocket</t>
  </si>
  <si>
    <t>adam l</t>
  </si>
  <si>
    <t>gage</t>
  </si>
  <si>
    <t>uncle peters boat house</t>
  </si>
  <si>
    <t>christian</t>
  </si>
  <si>
    <t>christain</t>
  </si>
  <si>
    <t>jimmy's</t>
  </si>
  <si>
    <t>kowalski lake house</t>
  </si>
  <si>
    <t>isabella</t>
  </si>
  <si>
    <t>ryan</t>
  </si>
  <si>
    <t>logan swenson</t>
  </si>
  <si>
    <t>win on break</t>
  </si>
  <si>
    <t>tyler league</t>
  </si>
  <si>
    <t>james</t>
  </si>
  <si>
    <t>phil league</t>
  </si>
  <si>
    <t>long</t>
  </si>
  <si>
    <t>billy</t>
  </si>
  <si>
    <t>wins</t>
  </si>
  <si>
    <t>games</t>
  </si>
  <si>
    <t>winrate</t>
  </si>
  <si>
    <t>losses</t>
  </si>
  <si>
    <t>sean</t>
  </si>
  <si>
    <t>bloomington billiards</t>
  </si>
  <si>
    <t>nate v</t>
  </si>
  <si>
    <t>adam h</t>
  </si>
  <si>
    <t>george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</si>
</sst>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%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i/>
      <sz val="11"/>
      <color theme="1"/>
      <name val="Calibri"/>
    </font>
    <font>
      <sz val="1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10" fontId="1" fillId="0" borderId="0" xfId="0" applyNumberFormat="1" applyFont="1"/>
    <xf numFmtId="0" fontId="3" fillId="0" borderId="1" xfId="0" applyFont="1" applyBorder="1" applyAlignment="1">
      <alignment horizontal="center"/>
    </xf>
    <xf numFmtId="164" fontId="1" fillId="0" borderId="0" xfId="0" applyNumberFormat="1" applyFont="1"/>
    <xf numFmtId="0" fontId="1" fillId="0" borderId="2" xfId="0" applyFont="1" applyBorder="1"/>
    <xf numFmtId="164" fontId="1" fillId="0" borderId="2" xfId="0" applyNumberFormat="1" applyFont="1" applyBorder="1"/>
    <xf numFmtId="164" fontId="3" fillId="0" borderId="1" xfId="0" applyNumberFormat="1" applyFont="1" applyBorder="1" applyAlignment="1">
      <alignment horizontal="center"/>
    </xf>
    <xf numFmtId="0" fontId="2" fillId="0" borderId="0" xfId="0" applyFont="1"/>
    <xf numFmtId="16" fontId="1" fillId="0" borderId="0" xfId="0" applyNumberFormat="1" applyFont="1"/>
    <xf numFmtId="2" fontId="1" fillId="0" borderId="0" xfId="0" applyNumberFormat="1" applyFont="1"/>
    <xf numFmtId="165" fontId="1" fillId="0" borderId="0" xfId="0" applyNumberFormat="1" applyFont="1"/>
    <xf numFmtId="16" fontId="5" fillId="0" borderId="0" xfId="0" applyNumberFormat="1" applyFont="1"/>
    <xf numFmtId="16" fontId="0" fillId="0" borderId="0" xfId="0" applyNumberFormat="1" applyFont="1" applyAlignment="1"/>
    <xf numFmtId="0" fontId="0" fillId="0" borderId="0" xfId="0" applyFont="1"/>
    <xf numFmtId="14" fontId="0" fillId="0" borderId="0" xfId="0" applyNumberFormat="1" applyFont="1" applyAlignment="1"/>
    <xf numFmtId="0" fontId="3" fillId="0" borderId="1" xfId="0" applyFont="1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 /><Relationship Id="rId3" Type="http://schemas.openxmlformats.org/officeDocument/2006/relationships/worksheet" Target="worksheets/sheet3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1" Type="http://schemas.openxmlformats.org/officeDocument/2006/relationships/styles" Target="styles.xml" /><Relationship Id="rId5" Type="http://schemas.openxmlformats.org/officeDocument/2006/relationships/pivotCacheDefinition" Target="pivotCache/pivotCacheDefinition1.xm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customschemas.google.com/relationships/workbookmetadata" Target="metadata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numRef>
              <c:f>Sheet1!$B$2:$B$613</c:f>
              <c:numCache>
                <c:formatCode>0.00</c:formatCode>
                <c:ptCount val="6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</c:numCache>
            </c:numRef>
          </c:cat>
          <c:val>
            <c:numRef>
              <c:f>Sheet1!$N$2:$N$200</c:f>
              <c:numCache>
                <c:formatCode>General</c:formatCode>
                <c:ptCount val="19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7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12</c:v>
                </c:pt>
                <c:pt idx="31">
                  <c:v>12</c:v>
                </c:pt>
                <c:pt idx="32">
                  <c:v>13</c:v>
                </c:pt>
                <c:pt idx="33">
                  <c:v>13</c:v>
                </c:pt>
                <c:pt idx="34">
                  <c:v>14</c:v>
                </c:pt>
                <c:pt idx="35">
                  <c:v>15</c:v>
                </c:pt>
                <c:pt idx="36">
                  <c:v>16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18</c:v>
                </c:pt>
                <c:pt idx="45">
                  <c:v>18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20</c:v>
                </c:pt>
                <c:pt idx="55">
                  <c:v>20</c:v>
                </c:pt>
                <c:pt idx="56">
                  <c:v>21</c:v>
                </c:pt>
                <c:pt idx="57">
                  <c:v>21</c:v>
                </c:pt>
                <c:pt idx="58">
                  <c:v>21</c:v>
                </c:pt>
                <c:pt idx="59">
                  <c:v>21</c:v>
                </c:pt>
                <c:pt idx="60">
                  <c:v>21</c:v>
                </c:pt>
                <c:pt idx="61">
                  <c:v>21</c:v>
                </c:pt>
                <c:pt idx="62">
                  <c:v>22</c:v>
                </c:pt>
                <c:pt idx="63">
                  <c:v>22</c:v>
                </c:pt>
                <c:pt idx="64">
                  <c:v>22</c:v>
                </c:pt>
                <c:pt idx="65">
                  <c:v>23</c:v>
                </c:pt>
                <c:pt idx="66">
                  <c:v>24</c:v>
                </c:pt>
                <c:pt idx="67">
                  <c:v>25</c:v>
                </c:pt>
                <c:pt idx="68">
                  <c:v>26</c:v>
                </c:pt>
                <c:pt idx="69">
                  <c:v>26</c:v>
                </c:pt>
                <c:pt idx="70">
                  <c:v>27</c:v>
                </c:pt>
                <c:pt idx="71">
                  <c:v>28</c:v>
                </c:pt>
                <c:pt idx="72">
                  <c:v>29</c:v>
                </c:pt>
                <c:pt idx="73">
                  <c:v>29</c:v>
                </c:pt>
                <c:pt idx="74">
                  <c:v>30</c:v>
                </c:pt>
                <c:pt idx="75">
                  <c:v>31</c:v>
                </c:pt>
                <c:pt idx="76">
                  <c:v>32</c:v>
                </c:pt>
                <c:pt idx="77">
                  <c:v>32</c:v>
                </c:pt>
                <c:pt idx="78">
                  <c:v>33</c:v>
                </c:pt>
                <c:pt idx="79">
                  <c:v>33</c:v>
                </c:pt>
                <c:pt idx="80">
                  <c:v>34</c:v>
                </c:pt>
                <c:pt idx="81">
                  <c:v>34</c:v>
                </c:pt>
                <c:pt idx="82">
                  <c:v>35</c:v>
                </c:pt>
                <c:pt idx="83">
                  <c:v>35</c:v>
                </c:pt>
                <c:pt idx="84">
                  <c:v>35</c:v>
                </c:pt>
                <c:pt idx="85">
                  <c:v>36</c:v>
                </c:pt>
                <c:pt idx="86">
                  <c:v>36</c:v>
                </c:pt>
                <c:pt idx="87">
                  <c:v>36</c:v>
                </c:pt>
                <c:pt idx="88">
                  <c:v>36</c:v>
                </c:pt>
                <c:pt idx="89">
                  <c:v>37</c:v>
                </c:pt>
                <c:pt idx="90">
                  <c:v>38</c:v>
                </c:pt>
                <c:pt idx="91">
                  <c:v>38</c:v>
                </c:pt>
                <c:pt idx="92">
                  <c:v>38</c:v>
                </c:pt>
                <c:pt idx="93">
                  <c:v>38</c:v>
                </c:pt>
                <c:pt idx="94">
                  <c:v>38</c:v>
                </c:pt>
                <c:pt idx="95">
                  <c:v>39</c:v>
                </c:pt>
                <c:pt idx="96">
                  <c:v>39</c:v>
                </c:pt>
                <c:pt idx="97">
                  <c:v>39</c:v>
                </c:pt>
                <c:pt idx="98">
                  <c:v>40</c:v>
                </c:pt>
                <c:pt idx="99">
                  <c:v>40</c:v>
                </c:pt>
                <c:pt idx="100">
                  <c:v>40</c:v>
                </c:pt>
                <c:pt idx="101">
                  <c:v>40</c:v>
                </c:pt>
                <c:pt idx="102">
                  <c:v>41</c:v>
                </c:pt>
                <c:pt idx="103">
                  <c:v>41</c:v>
                </c:pt>
                <c:pt idx="104">
                  <c:v>42</c:v>
                </c:pt>
                <c:pt idx="105">
                  <c:v>43</c:v>
                </c:pt>
                <c:pt idx="106">
                  <c:v>43</c:v>
                </c:pt>
                <c:pt idx="107">
                  <c:v>43</c:v>
                </c:pt>
                <c:pt idx="108">
                  <c:v>44</c:v>
                </c:pt>
                <c:pt idx="109">
                  <c:v>45</c:v>
                </c:pt>
                <c:pt idx="110">
                  <c:v>45</c:v>
                </c:pt>
                <c:pt idx="111">
                  <c:v>46</c:v>
                </c:pt>
                <c:pt idx="112">
                  <c:v>46</c:v>
                </c:pt>
                <c:pt idx="113">
                  <c:v>47</c:v>
                </c:pt>
                <c:pt idx="114">
                  <c:v>47</c:v>
                </c:pt>
                <c:pt idx="115">
                  <c:v>47</c:v>
                </c:pt>
                <c:pt idx="116">
                  <c:v>47</c:v>
                </c:pt>
                <c:pt idx="117">
                  <c:v>48</c:v>
                </c:pt>
                <c:pt idx="118">
                  <c:v>49</c:v>
                </c:pt>
                <c:pt idx="119">
                  <c:v>49</c:v>
                </c:pt>
                <c:pt idx="120">
                  <c:v>49</c:v>
                </c:pt>
                <c:pt idx="121">
                  <c:v>50</c:v>
                </c:pt>
                <c:pt idx="122">
                  <c:v>50</c:v>
                </c:pt>
                <c:pt idx="123">
                  <c:v>51</c:v>
                </c:pt>
                <c:pt idx="124">
                  <c:v>51</c:v>
                </c:pt>
                <c:pt idx="125">
                  <c:v>52</c:v>
                </c:pt>
                <c:pt idx="126">
                  <c:v>52</c:v>
                </c:pt>
                <c:pt idx="127">
                  <c:v>52</c:v>
                </c:pt>
                <c:pt idx="128">
                  <c:v>53</c:v>
                </c:pt>
                <c:pt idx="129">
                  <c:v>54</c:v>
                </c:pt>
                <c:pt idx="130">
                  <c:v>54</c:v>
                </c:pt>
                <c:pt idx="131">
                  <c:v>55</c:v>
                </c:pt>
                <c:pt idx="132">
                  <c:v>55</c:v>
                </c:pt>
                <c:pt idx="133">
                  <c:v>55</c:v>
                </c:pt>
                <c:pt idx="134">
                  <c:v>55</c:v>
                </c:pt>
                <c:pt idx="135">
                  <c:v>55</c:v>
                </c:pt>
                <c:pt idx="136">
                  <c:v>55</c:v>
                </c:pt>
                <c:pt idx="137">
                  <c:v>56</c:v>
                </c:pt>
                <c:pt idx="138">
                  <c:v>56</c:v>
                </c:pt>
                <c:pt idx="139">
                  <c:v>57</c:v>
                </c:pt>
                <c:pt idx="140">
                  <c:v>57</c:v>
                </c:pt>
                <c:pt idx="141">
                  <c:v>58</c:v>
                </c:pt>
                <c:pt idx="142">
                  <c:v>58</c:v>
                </c:pt>
                <c:pt idx="143">
                  <c:v>59</c:v>
                </c:pt>
                <c:pt idx="144">
                  <c:v>59</c:v>
                </c:pt>
                <c:pt idx="145">
                  <c:v>60</c:v>
                </c:pt>
                <c:pt idx="146">
                  <c:v>60</c:v>
                </c:pt>
                <c:pt idx="147">
                  <c:v>61</c:v>
                </c:pt>
                <c:pt idx="148">
                  <c:v>62</c:v>
                </c:pt>
                <c:pt idx="149">
                  <c:v>62</c:v>
                </c:pt>
                <c:pt idx="150">
                  <c:v>63</c:v>
                </c:pt>
                <c:pt idx="151">
                  <c:v>64</c:v>
                </c:pt>
                <c:pt idx="152">
                  <c:v>65</c:v>
                </c:pt>
                <c:pt idx="153">
                  <c:v>66</c:v>
                </c:pt>
                <c:pt idx="154">
                  <c:v>67</c:v>
                </c:pt>
                <c:pt idx="155">
                  <c:v>67</c:v>
                </c:pt>
                <c:pt idx="156">
                  <c:v>68</c:v>
                </c:pt>
                <c:pt idx="157">
                  <c:v>68</c:v>
                </c:pt>
                <c:pt idx="158">
                  <c:v>68</c:v>
                </c:pt>
                <c:pt idx="159">
                  <c:v>69</c:v>
                </c:pt>
                <c:pt idx="160">
                  <c:v>70</c:v>
                </c:pt>
                <c:pt idx="161">
                  <c:v>71</c:v>
                </c:pt>
                <c:pt idx="162">
                  <c:v>71</c:v>
                </c:pt>
                <c:pt idx="163">
                  <c:v>72</c:v>
                </c:pt>
                <c:pt idx="164">
                  <c:v>72</c:v>
                </c:pt>
                <c:pt idx="165">
                  <c:v>73</c:v>
                </c:pt>
                <c:pt idx="166">
                  <c:v>73</c:v>
                </c:pt>
                <c:pt idx="167">
                  <c:v>73</c:v>
                </c:pt>
                <c:pt idx="168">
                  <c:v>74</c:v>
                </c:pt>
                <c:pt idx="169">
                  <c:v>74</c:v>
                </c:pt>
                <c:pt idx="170">
                  <c:v>74</c:v>
                </c:pt>
                <c:pt idx="171">
                  <c:v>75</c:v>
                </c:pt>
                <c:pt idx="172">
                  <c:v>76</c:v>
                </c:pt>
                <c:pt idx="173">
                  <c:v>77</c:v>
                </c:pt>
                <c:pt idx="174">
                  <c:v>78</c:v>
                </c:pt>
                <c:pt idx="175">
                  <c:v>79</c:v>
                </c:pt>
                <c:pt idx="176">
                  <c:v>80</c:v>
                </c:pt>
                <c:pt idx="177">
                  <c:v>80</c:v>
                </c:pt>
                <c:pt idx="178">
                  <c:v>80</c:v>
                </c:pt>
                <c:pt idx="179">
                  <c:v>81</c:v>
                </c:pt>
                <c:pt idx="180">
                  <c:v>82</c:v>
                </c:pt>
                <c:pt idx="181">
                  <c:v>82</c:v>
                </c:pt>
                <c:pt idx="182">
                  <c:v>83</c:v>
                </c:pt>
                <c:pt idx="183">
                  <c:v>84</c:v>
                </c:pt>
                <c:pt idx="184">
                  <c:v>84</c:v>
                </c:pt>
                <c:pt idx="185">
                  <c:v>85</c:v>
                </c:pt>
                <c:pt idx="186">
                  <c:v>85</c:v>
                </c:pt>
                <c:pt idx="187">
                  <c:v>85</c:v>
                </c:pt>
                <c:pt idx="188">
                  <c:v>86</c:v>
                </c:pt>
                <c:pt idx="189">
                  <c:v>87</c:v>
                </c:pt>
                <c:pt idx="190">
                  <c:v>88</c:v>
                </c:pt>
                <c:pt idx="191">
                  <c:v>89</c:v>
                </c:pt>
                <c:pt idx="192">
                  <c:v>90</c:v>
                </c:pt>
                <c:pt idx="193">
                  <c:v>91</c:v>
                </c:pt>
                <c:pt idx="194">
                  <c:v>92</c:v>
                </c:pt>
                <c:pt idx="195">
                  <c:v>93</c:v>
                </c:pt>
                <c:pt idx="196">
                  <c:v>94</c:v>
                </c:pt>
                <c:pt idx="197">
                  <c:v>95</c:v>
                </c:pt>
                <c:pt idx="198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6E-7348-8190-09F7F96BB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3587859"/>
        <c:axId val="2116027342"/>
      </c:lineChart>
      <c:catAx>
        <c:axId val="633587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6027342"/>
        <c:crosses val="autoZero"/>
        <c:auto val="1"/>
        <c:lblAlgn val="ctr"/>
        <c:lblOffset val="100"/>
        <c:noMultiLvlLbl val="1"/>
      </c:catAx>
      <c:valAx>
        <c:axId val="21160273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358785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lang="en-US" sz="1600" b="1" i="0">
                <a:solidFill>
                  <a:schemeClr val="lt1"/>
                </a:solidFill>
                <a:latin typeface="+mn-lt"/>
              </a:rPr>
              <a:t>9-Game Rolling WR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Sheet1!$L$10:$L$200</c:f>
              <c:numCache>
                <c:formatCode>0.0%</c:formatCode>
                <c:ptCount val="191"/>
                <c:pt idx="0">
                  <c:v>0.44444444444444442</c:v>
                </c:pt>
                <c:pt idx="1">
                  <c:v>0.55555555555555558</c:v>
                </c:pt>
                <c:pt idx="2">
                  <c:v>0.55555555555555558</c:v>
                </c:pt>
                <c:pt idx="3">
                  <c:v>0.44444444444444442</c:v>
                </c:pt>
                <c:pt idx="4">
                  <c:v>0.33333333333333331</c:v>
                </c:pt>
                <c:pt idx="5">
                  <c:v>0.22222222222222221</c:v>
                </c:pt>
                <c:pt idx="6">
                  <c:v>0.22222222222222221</c:v>
                </c:pt>
                <c:pt idx="7">
                  <c:v>0.22222222222222221</c:v>
                </c:pt>
                <c:pt idx="8">
                  <c:v>0.22222222222222221</c:v>
                </c:pt>
                <c:pt idx="9">
                  <c:v>0.1111111111111111</c:v>
                </c:pt>
                <c:pt idx="10">
                  <c:v>0</c:v>
                </c:pt>
                <c:pt idx="11">
                  <c:v>0.1111111111111111</c:v>
                </c:pt>
                <c:pt idx="12">
                  <c:v>0.1111111111111111</c:v>
                </c:pt>
                <c:pt idx="13">
                  <c:v>0.1111111111111111</c:v>
                </c:pt>
                <c:pt idx="14">
                  <c:v>0.22222222222222221</c:v>
                </c:pt>
                <c:pt idx="15">
                  <c:v>0.33333333333333331</c:v>
                </c:pt>
                <c:pt idx="16">
                  <c:v>0.33333333333333331</c:v>
                </c:pt>
                <c:pt idx="17">
                  <c:v>0.33333333333333331</c:v>
                </c:pt>
                <c:pt idx="18">
                  <c:v>0.33333333333333331</c:v>
                </c:pt>
                <c:pt idx="19">
                  <c:v>0.44444444444444442</c:v>
                </c:pt>
                <c:pt idx="20">
                  <c:v>0.44444444444444442</c:v>
                </c:pt>
                <c:pt idx="21">
                  <c:v>0.55555555555555558</c:v>
                </c:pt>
                <c:pt idx="22">
                  <c:v>0.66666666666666663</c:v>
                </c:pt>
                <c:pt idx="23">
                  <c:v>0.55555555555555558</c:v>
                </c:pt>
                <c:pt idx="24">
                  <c:v>0.55555555555555558</c:v>
                </c:pt>
                <c:pt idx="25">
                  <c:v>0.55555555555555558</c:v>
                </c:pt>
                <c:pt idx="26">
                  <c:v>0.66666666666666663</c:v>
                </c:pt>
                <c:pt idx="27">
                  <c:v>0.77777777777777779</c:v>
                </c:pt>
                <c:pt idx="28">
                  <c:v>0.77777777777777779</c:v>
                </c:pt>
                <c:pt idx="29">
                  <c:v>0.77777777777777779</c:v>
                </c:pt>
                <c:pt idx="30">
                  <c:v>0.66666666666666663</c:v>
                </c:pt>
                <c:pt idx="31">
                  <c:v>0.55555555555555558</c:v>
                </c:pt>
                <c:pt idx="32">
                  <c:v>0.55555555555555558</c:v>
                </c:pt>
                <c:pt idx="33">
                  <c:v>0.44444444444444442</c:v>
                </c:pt>
                <c:pt idx="34">
                  <c:v>0.44444444444444442</c:v>
                </c:pt>
                <c:pt idx="35">
                  <c:v>0.33333333333333331</c:v>
                </c:pt>
                <c:pt idx="36">
                  <c:v>0.33333333333333331</c:v>
                </c:pt>
                <c:pt idx="37">
                  <c:v>0.22222222222222221</c:v>
                </c:pt>
                <c:pt idx="38">
                  <c:v>0.1111111111111111</c:v>
                </c:pt>
                <c:pt idx="39">
                  <c:v>0.1111111111111111</c:v>
                </c:pt>
                <c:pt idx="40">
                  <c:v>0.1111111111111111</c:v>
                </c:pt>
                <c:pt idx="41">
                  <c:v>0.1111111111111111</c:v>
                </c:pt>
                <c:pt idx="42">
                  <c:v>0.22222222222222221</c:v>
                </c:pt>
                <c:pt idx="43">
                  <c:v>0.22222222222222221</c:v>
                </c:pt>
                <c:pt idx="44">
                  <c:v>0.22222222222222221</c:v>
                </c:pt>
                <c:pt idx="45">
                  <c:v>0.1111111111111111</c:v>
                </c:pt>
                <c:pt idx="46">
                  <c:v>0.22222222222222221</c:v>
                </c:pt>
                <c:pt idx="47">
                  <c:v>0.22222222222222221</c:v>
                </c:pt>
                <c:pt idx="48">
                  <c:v>0.33333333333333331</c:v>
                </c:pt>
                <c:pt idx="49">
                  <c:v>0.33333333333333331</c:v>
                </c:pt>
                <c:pt idx="50">
                  <c:v>0.33333333333333331</c:v>
                </c:pt>
                <c:pt idx="51">
                  <c:v>0.22222222222222221</c:v>
                </c:pt>
                <c:pt idx="52">
                  <c:v>0.22222222222222221</c:v>
                </c:pt>
                <c:pt idx="53">
                  <c:v>0.22222222222222221</c:v>
                </c:pt>
                <c:pt idx="54">
                  <c:v>0.33333333333333331</c:v>
                </c:pt>
                <c:pt idx="55">
                  <c:v>0.22222222222222221</c:v>
                </c:pt>
                <c:pt idx="56">
                  <c:v>0.22222222222222221</c:v>
                </c:pt>
                <c:pt idx="57">
                  <c:v>0.22222222222222221</c:v>
                </c:pt>
                <c:pt idx="58">
                  <c:v>0.33333333333333331</c:v>
                </c:pt>
                <c:pt idx="59">
                  <c:v>0.44444444444444442</c:v>
                </c:pt>
                <c:pt idx="60">
                  <c:v>0.55555555555555558</c:v>
                </c:pt>
                <c:pt idx="61">
                  <c:v>0.55555555555555558</c:v>
                </c:pt>
                <c:pt idx="62">
                  <c:v>0.66666666666666663</c:v>
                </c:pt>
                <c:pt idx="63">
                  <c:v>0.66666666666666663</c:v>
                </c:pt>
                <c:pt idx="64">
                  <c:v>0.77777777777777779</c:v>
                </c:pt>
                <c:pt idx="65">
                  <c:v>0.77777777777777779</c:v>
                </c:pt>
                <c:pt idx="66">
                  <c:v>0.77777777777777779</c:v>
                </c:pt>
                <c:pt idx="67">
                  <c:v>0.77777777777777779</c:v>
                </c:pt>
                <c:pt idx="68">
                  <c:v>0.77777777777777779</c:v>
                </c:pt>
                <c:pt idx="69">
                  <c:v>0.66666666666666663</c:v>
                </c:pt>
                <c:pt idx="70">
                  <c:v>0.77777777777777779</c:v>
                </c:pt>
                <c:pt idx="71">
                  <c:v>0.66666666666666663</c:v>
                </c:pt>
                <c:pt idx="72">
                  <c:v>0.66666666666666663</c:v>
                </c:pt>
                <c:pt idx="73">
                  <c:v>0.55555555555555558</c:v>
                </c:pt>
                <c:pt idx="74">
                  <c:v>0.66666666666666663</c:v>
                </c:pt>
                <c:pt idx="75">
                  <c:v>0.55555555555555558</c:v>
                </c:pt>
                <c:pt idx="76">
                  <c:v>0.44444444444444442</c:v>
                </c:pt>
                <c:pt idx="77">
                  <c:v>0.44444444444444442</c:v>
                </c:pt>
                <c:pt idx="78">
                  <c:v>0.44444444444444442</c:v>
                </c:pt>
                <c:pt idx="79">
                  <c:v>0.33333333333333331</c:v>
                </c:pt>
                <c:pt idx="80">
                  <c:v>0.33333333333333331</c:v>
                </c:pt>
                <c:pt idx="81">
                  <c:v>0.33333333333333331</c:v>
                </c:pt>
                <c:pt idx="82">
                  <c:v>0.44444444444444442</c:v>
                </c:pt>
                <c:pt idx="83">
                  <c:v>0.33333333333333331</c:v>
                </c:pt>
                <c:pt idx="84">
                  <c:v>0.33333333333333331</c:v>
                </c:pt>
                <c:pt idx="85">
                  <c:v>0.33333333333333331</c:v>
                </c:pt>
                <c:pt idx="86">
                  <c:v>0.22222222222222221</c:v>
                </c:pt>
                <c:pt idx="87">
                  <c:v>0.33333333333333331</c:v>
                </c:pt>
                <c:pt idx="88">
                  <c:v>0.33333333333333331</c:v>
                </c:pt>
                <c:pt idx="89">
                  <c:v>0.33333333333333331</c:v>
                </c:pt>
                <c:pt idx="90">
                  <c:v>0.33333333333333331</c:v>
                </c:pt>
                <c:pt idx="91">
                  <c:v>0.22222222222222221</c:v>
                </c:pt>
                <c:pt idx="92">
                  <c:v>0.22222222222222221</c:v>
                </c:pt>
                <c:pt idx="93">
                  <c:v>0.22222222222222221</c:v>
                </c:pt>
                <c:pt idx="94">
                  <c:v>0.33333333333333331</c:v>
                </c:pt>
                <c:pt idx="95">
                  <c:v>0.33333333333333331</c:v>
                </c:pt>
                <c:pt idx="96">
                  <c:v>0.33333333333333331</c:v>
                </c:pt>
                <c:pt idx="97">
                  <c:v>0.44444444444444442</c:v>
                </c:pt>
                <c:pt idx="98">
                  <c:v>0.44444444444444442</c:v>
                </c:pt>
                <c:pt idx="99">
                  <c:v>0.33333333333333331</c:v>
                </c:pt>
                <c:pt idx="100">
                  <c:v>0.44444444444444442</c:v>
                </c:pt>
                <c:pt idx="101">
                  <c:v>0.55555555555555558</c:v>
                </c:pt>
                <c:pt idx="102">
                  <c:v>0.55555555555555558</c:v>
                </c:pt>
                <c:pt idx="103">
                  <c:v>0.55555555555555558</c:v>
                </c:pt>
                <c:pt idx="104">
                  <c:v>0.55555555555555558</c:v>
                </c:pt>
                <c:pt idx="105">
                  <c:v>0.55555555555555558</c:v>
                </c:pt>
                <c:pt idx="106">
                  <c:v>0.44444444444444442</c:v>
                </c:pt>
                <c:pt idx="107">
                  <c:v>0.44444444444444442</c:v>
                </c:pt>
                <c:pt idx="108">
                  <c:v>0.44444444444444442</c:v>
                </c:pt>
                <c:pt idx="109">
                  <c:v>0.44444444444444442</c:v>
                </c:pt>
                <c:pt idx="110">
                  <c:v>0.44444444444444442</c:v>
                </c:pt>
                <c:pt idx="111">
                  <c:v>0.44444444444444442</c:v>
                </c:pt>
                <c:pt idx="112">
                  <c:v>0.33333333333333331</c:v>
                </c:pt>
                <c:pt idx="113">
                  <c:v>0.44444444444444442</c:v>
                </c:pt>
                <c:pt idx="114">
                  <c:v>0.33333333333333331</c:v>
                </c:pt>
                <c:pt idx="115">
                  <c:v>0.44444444444444442</c:v>
                </c:pt>
                <c:pt idx="116">
                  <c:v>0.44444444444444442</c:v>
                </c:pt>
                <c:pt idx="117">
                  <c:v>0.55555555555555558</c:v>
                </c:pt>
                <c:pt idx="118">
                  <c:v>0.44444444444444442</c:v>
                </c:pt>
                <c:pt idx="119">
                  <c:v>0.33333333333333331</c:v>
                </c:pt>
                <c:pt idx="120">
                  <c:v>0.44444444444444442</c:v>
                </c:pt>
                <c:pt idx="121">
                  <c:v>0.55555555555555558</c:v>
                </c:pt>
                <c:pt idx="122">
                  <c:v>0.44444444444444442</c:v>
                </c:pt>
                <c:pt idx="123">
                  <c:v>0.55555555555555558</c:v>
                </c:pt>
                <c:pt idx="124">
                  <c:v>0.44444444444444442</c:v>
                </c:pt>
                <c:pt idx="125">
                  <c:v>0.44444444444444442</c:v>
                </c:pt>
                <c:pt idx="126">
                  <c:v>0.33333333333333331</c:v>
                </c:pt>
                <c:pt idx="127">
                  <c:v>0.33333333333333331</c:v>
                </c:pt>
                <c:pt idx="128">
                  <c:v>0.33333333333333331</c:v>
                </c:pt>
                <c:pt idx="129">
                  <c:v>0.33333333333333331</c:v>
                </c:pt>
                <c:pt idx="130">
                  <c:v>0.22222222222222221</c:v>
                </c:pt>
                <c:pt idx="131">
                  <c:v>0.33333333333333331</c:v>
                </c:pt>
                <c:pt idx="132">
                  <c:v>0.22222222222222221</c:v>
                </c:pt>
                <c:pt idx="133">
                  <c:v>0.33333333333333331</c:v>
                </c:pt>
                <c:pt idx="134">
                  <c:v>0.33333333333333331</c:v>
                </c:pt>
                <c:pt idx="135">
                  <c:v>0.44444444444444442</c:v>
                </c:pt>
                <c:pt idx="136">
                  <c:v>0.44444444444444442</c:v>
                </c:pt>
                <c:pt idx="137">
                  <c:v>0.55555555555555558</c:v>
                </c:pt>
                <c:pt idx="138">
                  <c:v>0.44444444444444442</c:v>
                </c:pt>
                <c:pt idx="139">
                  <c:v>0.55555555555555558</c:v>
                </c:pt>
                <c:pt idx="140">
                  <c:v>0.55555555555555558</c:v>
                </c:pt>
                <c:pt idx="141">
                  <c:v>0.55555555555555558</c:v>
                </c:pt>
                <c:pt idx="142">
                  <c:v>0.55555555555555558</c:v>
                </c:pt>
                <c:pt idx="143">
                  <c:v>0.66666666666666663</c:v>
                </c:pt>
                <c:pt idx="144">
                  <c:v>0.66666666666666663</c:v>
                </c:pt>
                <c:pt idx="145">
                  <c:v>0.77777777777777779</c:v>
                </c:pt>
                <c:pt idx="146">
                  <c:v>0.77777777777777779</c:v>
                </c:pt>
                <c:pt idx="147">
                  <c:v>0.77777777777777779</c:v>
                </c:pt>
                <c:pt idx="148">
                  <c:v>0.77777777777777779</c:v>
                </c:pt>
                <c:pt idx="149">
                  <c:v>0.66666666666666663</c:v>
                </c:pt>
                <c:pt idx="150">
                  <c:v>0.66666666666666663</c:v>
                </c:pt>
                <c:pt idx="151">
                  <c:v>0.66666666666666663</c:v>
                </c:pt>
                <c:pt idx="152">
                  <c:v>0.66666666666666663</c:v>
                </c:pt>
                <c:pt idx="153">
                  <c:v>0.66666666666666663</c:v>
                </c:pt>
                <c:pt idx="154">
                  <c:v>0.55555555555555558</c:v>
                </c:pt>
                <c:pt idx="155">
                  <c:v>0.55555555555555558</c:v>
                </c:pt>
                <c:pt idx="156">
                  <c:v>0.55555555555555558</c:v>
                </c:pt>
                <c:pt idx="157">
                  <c:v>0.55555555555555558</c:v>
                </c:pt>
                <c:pt idx="158">
                  <c:v>0.55555555555555558</c:v>
                </c:pt>
                <c:pt idx="159">
                  <c:v>0.55555555555555558</c:v>
                </c:pt>
                <c:pt idx="160">
                  <c:v>0.55555555555555558</c:v>
                </c:pt>
                <c:pt idx="161">
                  <c:v>0.44444444444444442</c:v>
                </c:pt>
                <c:pt idx="162">
                  <c:v>0.33333333333333331</c:v>
                </c:pt>
                <c:pt idx="163">
                  <c:v>0.44444444444444442</c:v>
                </c:pt>
                <c:pt idx="164">
                  <c:v>0.44444444444444442</c:v>
                </c:pt>
                <c:pt idx="165">
                  <c:v>0.55555555555555558</c:v>
                </c:pt>
                <c:pt idx="166">
                  <c:v>0.55555555555555558</c:v>
                </c:pt>
                <c:pt idx="167">
                  <c:v>0.66666666666666663</c:v>
                </c:pt>
                <c:pt idx="168">
                  <c:v>0.77777777777777779</c:v>
                </c:pt>
                <c:pt idx="169">
                  <c:v>0.66666666666666663</c:v>
                </c:pt>
                <c:pt idx="170">
                  <c:v>0.66666666666666663</c:v>
                </c:pt>
                <c:pt idx="171">
                  <c:v>0.77777777777777779</c:v>
                </c:pt>
                <c:pt idx="172">
                  <c:v>0.77777777777777779</c:v>
                </c:pt>
                <c:pt idx="173">
                  <c:v>0.66666666666666663</c:v>
                </c:pt>
                <c:pt idx="174">
                  <c:v>0.66666666666666663</c:v>
                </c:pt>
                <c:pt idx="175">
                  <c:v>0.66666666666666663</c:v>
                </c:pt>
                <c:pt idx="176">
                  <c:v>0.55555555555555558</c:v>
                </c:pt>
                <c:pt idx="177">
                  <c:v>0.55555555555555558</c:v>
                </c:pt>
                <c:pt idx="178">
                  <c:v>0.55555555555555558</c:v>
                </c:pt>
                <c:pt idx="179">
                  <c:v>0.55555555555555558</c:v>
                </c:pt>
                <c:pt idx="180">
                  <c:v>0.55555555555555558</c:v>
                </c:pt>
                <c:pt idx="181">
                  <c:v>0.55555555555555558</c:v>
                </c:pt>
                <c:pt idx="182">
                  <c:v>0.66666666666666663</c:v>
                </c:pt>
                <c:pt idx="183">
                  <c:v>0.66666666666666663</c:v>
                </c:pt>
                <c:pt idx="184">
                  <c:v>0.66666666666666663</c:v>
                </c:pt>
                <c:pt idx="185">
                  <c:v>0.77777777777777779</c:v>
                </c:pt>
                <c:pt idx="186">
                  <c:v>0.77777777777777779</c:v>
                </c:pt>
                <c:pt idx="187">
                  <c:v>0.88888888888888884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6E-104D-9625-307F0D590323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Sheet1!$K$10:$K$200</c:f>
              <c:numCache>
                <c:formatCode>General</c:formatCode>
                <c:ptCount val="191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6E-104D-9625-307F0D590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4957192"/>
        <c:axId val="2064404943"/>
      </c:lineChart>
      <c:catAx>
        <c:axId val="2024957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2064404943"/>
        <c:crosses val="autoZero"/>
        <c:auto val="1"/>
        <c:lblAlgn val="ctr"/>
        <c:lblOffset val="100"/>
        <c:noMultiLvlLbl val="1"/>
      </c:catAx>
      <c:valAx>
        <c:axId val="20644049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2024957192"/>
        <c:crosses val="autoZero"/>
        <c:crossBetween val="between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76200</xdr:colOff>
      <xdr:row>1</xdr:row>
      <xdr:rowOff>114300</xdr:rowOff>
    </xdr:from>
    <xdr:ext cx="11115675" cy="6848475"/>
    <xdr:graphicFrame macro="">
      <xdr:nvGraphicFramePr>
        <xdr:cNvPr id="1543969600" name="Chart 1">
          <a:extLst>
            <a:ext uri="{FF2B5EF4-FFF2-40B4-BE49-F238E27FC236}">
              <a16:creationId xmlns:a16="http://schemas.microsoft.com/office/drawing/2014/main" id="{00000000-0008-0000-0300-0000401B0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17</xdr:col>
      <xdr:colOff>152400</xdr:colOff>
      <xdr:row>37</xdr:row>
      <xdr:rowOff>0</xdr:rowOff>
    </xdr:from>
    <xdr:ext cx="8267700" cy="6029325"/>
    <xdr:graphicFrame macro="">
      <xdr:nvGraphicFramePr>
        <xdr:cNvPr id="1494502070" name="Chart 2">
          <a:extLst>
            <a:ext uri="{FF2B5EF4-FFF2-40B4-BE49-F238E27FC236}">
              <a16:creationId xmlns:a16="http://schemas.microsoft.com/office/drawing/2014/main" id="{00000000-0008-0000-0300-0000B64A1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OnLoad="1" refreshedDate="0" recordCount="0" xr:uid="{00000000-000A-0000-FFFF-FFFF00000000}">
  <cacheSource type="worksheet">
    <worksheetSource ref="A1:I613" sheet="Sheet1"/>
  </cacheSource>
  <cacheFields count="9">
    <cacheField name="date" numFmtId="16">
      <sharedItems containsSemiMixedTypes="0" containsDate="1" containsString="0" count="131">
        <d v="2017-04-10T00:00:00"/>
        <d v="2017-04-14T00:00:00"/>
        <d v="2017-04-21T00:00:00"/>
        <d v="2017-04-26T00:00:00"/>
        <d v="2017-04-29T00:00:00"/>
        <d v="2017-04-30T00:00:00"/>
        <d v="2017-05-11T00:00:00"/>
        <d v="2017-05-18T00:00:00"/>
        <d v="2017-06-04T00:00:00"/>
        <d v="2017-06-08T00:00:00"/>
        <d v="2017-06-14T00:00:00"/>
        <d v="2017-06-18T00:00:00"/>
        <d v="2017-06-24T00:00:00"/>
        <d v="2017-06-29T00:00:00"/>
        <d v="2017-07-09T00:00:00"/>
        <d v="2017-07-15T00:00:00"/>
        <d v="2017-07-20T00:00:00"/>
        <d v="2017-07-22T00:00:00"/>
        <d v="2017-07-26T00:00:00"/>
        <d v="2017-08-06T00:00:00"/>
        <d v="2017-08-12T00:00:00"/>
        <d v="2017-08-17T00:00:00"/>
        <d v="2017-08-19T00:00:00"/>
        <d v="2017-08-20T00:00:00"/>
        <d v="2017-08-23T00:00:00"/>
        <d v="2017-08-27T00:00:00"/>
        <d v="2017-09-04T00:00:00"/>
        <d v="2017-09-08T00:00:00"/>
        <d v="2017-09-13T00:00:00"/>
        <d v="2017-09-17T00:00:00"/>
        <d v="2017-09-21T00:00:00"/>
        <d v="2017-09-22T00:00:00"/>
        <d v="2017-10-02T00:00:00"/>
        <d v="2017-10-03T00:00:00"/>
        <d v="2017-10-07T00:00:00"/>
        <d v="2017-10-14T00:00:00"/>
        <d v="2017-10-16T00:00:00"/>
        <d v="2017-10-28T00:00:00"/>
        <d v="2017-11-09T00:00:00"/>
        <d v="2017-11-12T00:00:00"/>
        <d v="2017-12-19T00:00:00"/>
        <d v="2018-01-10T00:00:00"/>
        <d v="2018-02-24T00:00:00"/>
        <d v="2018-03-19T00:00:00"/>
        <d v="2018-03-23T00:00:00"/>
        <d v="2018-04-06T00:00:00"/>
        <d v="2018-04-18T00:00:00"/>
        <d v="2018-05-02T00:00:00"/>
        <d v="2018-05-18T00:00:00"/>
        <d v="2018-05-30T00:00:00"/>
        <d v="2018-06-01T00:00:00"/>
        <d v="2018-06-04T00:00:00"/>
        <d v="2018-06-13T00:00:00"/>
        <d v="2018-06-20T00:00:00"/>
        <d v="2018-07-08T00:00:00"/>
        <d v="2018-07-11T00:00:00"/>
        <d v="2018-07-22T00:00:00"/>
        <d v="2018-07-26T00:00:00"/>
        <d v="2018-07-29T00:00:00"/>
        <d v="2018-08-02T00:00:00"/>
        <d v="2018-08-03T00:00:00"/>
        <d v="2018-08-08T00:00:00"/>
        <d v="2018-08-10T00:00:00"/>
        <d v="2018-09-28T00:00:00"/>
        <d v="2018-10-07T00:00:00"/>
        <d v="2019-02-23T00:00:00"/>
        <d v="2019-03-02T00:00:00"/>
        <d v="2019-04-20T00:00:00"/>
        <d v="2019-04-26T00:00:00"/>
        <d v="2019-05-14T00:00:00"/>
        <d v="2019-05-21T00:00:00"/>
        <d v="2019-05-24T00:00:00"/>
        <d v="2019-05-31T00:00:00"/>
        <d v="2019-06-10T00:00:00"/>
        <d v="2019-07-07T00:00:00"/>
        <d v="2019-07-20T00:00:00"/>
        <d v="2019-08-08T00:00:00"/>
        <d v="2019-09-11T00:00:00"/>
        <d v="2019-10-22T00:00:00"/>
        <d v="2019-10-29T00:00:00"/>
        <d v="2019-11-01T00:00:00"/>
        <d v="2020-01-18T00:00:00"/>
        <d v="2020-01-25T00:00:00"/>
        <d v="2020-03-11T00:00:00"/>
        <d v="2020-04-05T00:00:00"/>
        <d v="2020-05-25T00:00:00"/>
        <d v="2020-08-30T00:00:00"/>
        <d v="2021-08-14T00:00:00"/>
        <d v="2021-09-07T00:00:00"/>
        <d v="2021-09-20T00:00:00"/>
        <d v="2021-10-15T00:00:00"/>
        <d v="2021-10-16T00:00:00"/>
        <d v="2021-10-30T00:00:00"/>
        <d v="2021-11-03T00:00:00"/>
        <d v="2021-11-24T00:00:00"/>
        <d v="2021-11-25T00:00:00"/>
        <d v="2021-12-18T00:00:00"/>
        <d v="2021-12-29T00:00:00"/>
        <d v="2022-01-15T00:00:00"/>
        <d v="2022-02-01T00:00:00"/>
        <d v="2022-02-04T00:00:00"/>
        <d v="2022-02-05T00:00:00"/>
        <d v="2022-02-22T00:00:00"/>
        <d v="2022-03-01T00:00:00"/>
        <d v="2022-03-08T00:00:00"/>
        <d v="2022-03-15T00:00:00"/>
        <d v="2022-03-29T00:00:00"/>
        <d v="2022-04-05T00:00:00"/>
        <d v="2022-04-09T00:00:00"/>
        <d v="2022-04-18T00:00:00"/>
        <d v="2022-04-25T00:00:00"/>
        <d v="2022-04-30T00:00:00"/>
        <d v="2022-06-03T00:00:00"/>
        <d v="2022-06-15T00:00:00"/>
        <d v="2022-06-24T00:00:00"/>
        <d v="2022-07-01T00:00:00"/>
        <d v="2022-07-05T00:00:00"/>
        <d v="2022-07-24T00:00:00"/>
        <d v="2022-08-02T00:00:00"/>
        <d v="2022-10-26T00:00:00"/>
        <d v="2022-11-08T00:00:00"/>
        <d v="2022-11-24T00:00:00"/>
        <d v="2022-12-13T00:00:00"/>
        <d v="2022-12-17T00:00:00"/>
        <d v="2022-12-23T00:00:00"/>
        <d v="2023-01-10T00:00:00"/>
        <d v="2023-01-17T00:00:00"/>
        <d v="2023-01-24T00:00:00"/>
        <d v="2023-03-17T00:00:00"/>
        <d v="2023-03-21T00:00:00"/>
        <d v="2023-03-28T00:00:00"/>
      </sharedItems>
    </cacheField>
    <cacheField name="GameCount" numFmtId="2">
      <sharedItems containsSemiMixedTypes="0" containsString="0" containsNumber="1" containsInteger="1" count="54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</sharedItems>
    </cacheField>
    <cacheField name="location " numFmtId="0">
      <sharedItems count="15">
        <s v="station 280"/>
        <s v="adams"/>
        <s v="dad's house "/>
        <s v="sportys"/>
        <s v="uncle George "/>
        <s v="cardinals"/>
        <s v="park tavern"/>
        <s v="era clubhouse"/>
        <s v="B.S. and Company (wolverine,mi)"/>
        <s v="SS Billiards"/>
        <s v="adams house"/>
        <s v="uncle daves"/>
        <s v="uncle peters boat house"/>
        <s v="jimmy's"/>
        <s v="kowalski lake house"/>
      </sharedItems>
    </cacheField>
    <cacheField name="opponent " numFmtId="0">
      <sharedItems count="38">
        <s v="dad"/>
        <s v="adam, josh"/>
        <s v="adam josh"/>
        <s v="josh Jered "/>
        <s v="dad, josh"/>
        <s v="josh "/>
        <s v="riley"/>
        <s v="josh"/>
        <s v="dad, aaron"/>
        <s v="Jered, dad"/>
        <s v="con"/>
        <s v="tobe"/>
        <s v="ry"/>
        <s v="kyle"/>
        <s v="adam"/>
        <s v="mike"/>
        <s v="justin"/>
        <s v="doug, dale"/>
        <s v="adam, dad"/>
        <s v="matt o"/>
        <s v="jesse b"/>
        <s v="jered"/>
        <s v="devin"/>
        <s v="mason"/>
        <s v="evan tonarelli"/>
        <s v="luke ritter"/>
        <s v="logan ritter"/>
        <s v="adam l"/>
        <s v="gage"/>
        <s v="christian"/>
        <s v="isabella"/>
        <s v="ryan"/>
        <s v="logan swenson"/>
        <s v="tyler league"/>
        <s v="james"/>
        <s v="phil league"/>
        <s v="long"/>
        <s v="billy"/>
      </sharedItems>
    </cacheField>
    <cacheField name="win/loss" numFmtId="0">
      <sharedItems containsSemiMixedTypes="0" containsString="0" containsNumber="1" containsInteger="1" count="2">
        <n v="0"/>
        <n v="1"/>
      </sharedItems>
    </cacheField>
    <cacheField name="win type" numFmtId="0">
      <sharedItems count="8">
        <s v="wrong pocket "/>
        <s v="regulation"/>
        <s v="early 8"/>
        <s v="cutthroat "/>
        <s v="scratch on 8"/>
        <s v="cutthroat"/>
        <s v="wrong pocket"/>
        <s v="win on break"/>
      </sharedItems>
    </cacheField>
    <cacheField name="loser remainder">
      <sharedItems containsMixedTypes="1" containsNumber="1" containsInteger="1" count="10">
        <n v="0"/>
        <n v="4"/>
        <n v="3"/>
        <n v="2"/>
        <n v="7"/>
        <n v="1"/>
        <n v="5"/>
        <s v="dad"/>
        <s v="ted"/>
        <n v="6"/>
      </sharedItems>
    </cacheField>
    <cacheField name="break" numFmtId="0">
      <sharedItems count="21">
        <s v="dad"/>
        <s v="ted"/>
        <s v="josh"/>
        <s v="adam"/>
        <s v="jered"/>
        <s v="con"/>
        <s v="ry"/>
        <s v="kyle"/>
        <s v="mike"/>
        <s v="justin"/>
        <s v="dale"/>
        <s v="mason"/>
        <s v="evan tonarelli"/>
        <s v="luke ritter"/>
        <s v="devin"/>
        <s v="christain"/>
        <s v="ryan"/>
        <s v="logan swenson"/>
        <s v="james"/>
        <s v="phil league"/>
        <s v="long"/>
      </sharedItems>
    </cacheField>
    <cacheField name="winner remaining ">
      <sharedItems containsBlank="1" containsMixedTypes="1" containsNumber="1" containsInteger="1" count="12">
        <n v="3"/>
        <n v="0"/>
        <n v="4"/>
        <n v="7"/>
        <s v="josh"/>
        <s v="ted"/>
        <n v="5"/>
        <n v="1"/>
        <n v="2"/>
        <s v="jered"/>
        <n v="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Sheet5 2" cacheId="2" applyNumberFormats="0" applyBorderFormats="0" applyFontFormats="0" applyPatternFormats="0" applyAlignmentFormats="0" applyWidthHeightFormats="0" dataCaption="" compact="0" compactData="0">
  <location ref="A14:E25" firstHeaderRow="0" firstDataRow="1" firstDataCol="1" rowPageCount="1" colPageCount="1"/>
  <pivotFields count="9">
    <pivotField name="date" compact="0" numFmtId="16" outline="0" multipleItemSelectionAllowed="1" showAll="0">
      <items count="1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name="GameCount" compact="0" numFmtId="2" outline="0" multipleItemSelectionAllowed="1" showAll="0">
      <items count="5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location " compact="0" outline="0" multipleItemSelectionAllowe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pponent " axis="axisRow" compact="0" outline="0" multipleItemSelectionAllowed="1" showAll="0" sortType="ascending">
      <items count="39">
        <item h="1" x="14"/>
        <item h="1" x="2"/>
        <item h="1" x="27"/>
        <item h="1" x="18"/>
        <item h="1" x="1"/>
        <item h="1" x="37"/>
        <item h="1" x="29"/>
        <item h="1" x="10"/>
        <item x="0"/>
        <item h="1" x="8"/>
        <item h="1" x="4"/>
        <item h="1" x="22"/>
        <item h="1" x="17"/>
        <item h="1" x="24"/>
        <item h="1" x="28"/>
        <item h="1" x="30"/>
        <item h="1" x="34"/>
        <item h="1" x="21"/>
        <item h="1" x="9"/>
        <item h="1" x="20"/>
        <item h="1" x="7"/>
        <item h="1" x="5"/>
        <item h="1" x="3"/>
        <item h="1" x="16"/>
        <item h="1" x="13"/>
        <item h="1" x="26"/>
        <item h="1" x="32"/>
        <item h="1" x="36"/>
        <item h="1" x="25"/>
        <item h="1" x="23"/>
        <item h="1" x="19"/>
        <item h="1" x="15"/>
        <item h="1" x="35"/>
        <item h="1" x="6"/>
        <item h="1" x="12"/>
        <item h="1" x="31"/>
        <item h="1" x="11"/>
        <item h="1" x="33"/>
        <item t="default"/>
      </items>
    </pivotField>
    <pivotField name="win/loss" axis="axisCol" compact="0" outline="0" multipleItemSelectionAllowed="1" showAll="0" sortType="ascending">
      <items count="3">
        <item x="0"/>
        <item x="1"/>
        <item t="default"/>
      </items>
    </pivotField>
    <pivotField name="win type" compact="0" outline="0" multipleItemSelectionAllowe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ame="loser remainder" axis="axisRow" compact="0" outline="0" multipleItemSelectionAllowed="1" showAll="0" sortType="ascending">
      <items count="11">
        <item x="0"/>
        <item x="5"/>
        <item x="3"/>
        <item x="2"/>
        <item x="1"/>
        <item x="6"/>
        <item x="9"/>
        <item x="4"/>
        <item x="7"/>
        <item x="8"/>
        <item t="default"/>
      </items>
    </pivotField>
    <pivotField name="break" axis="axisPage" compact="0" outline="0" multipleItemSelectionAllowed="1" showAll="0">
      <items count="22">
        <item x="0"/>
        <item x="1"/>
        <item x="2"/>
        <item x="3"/>
        <item x="4"/>
        <item x="5"/>
        <item x="6"/>
        <item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t="default"/>
      </items>
    </pivotField>
    <pivotField name="winner remaining " compact="0" outline="0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2">
    <field x="3"/>
    <field x="6"/>
  </rowFields>
  <colFields count="1">
    <field x="4"/>
  </colFields>
  <pageFields count="1">
    <pageField fld="7" hier="0"/>
  </page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Sheet5" cacheId="2" applyNumberFormats="0" applyBorderFormats="0" applyFontFormats="0" applyPatternFormats="0" applyAlignmentFormats="0" applyWidthHeightFormats="0" dataCaption="" compact="0" compactData="0">
  <location ref="A3:F7" firstHeaderRow="0" firstDataRow="1" firstDataCol="1" rowPageCount="1" colPageCount="1"/>
  <pivotFields count="9">
    <pivotField name="date" compact="0" numFmtId="16" outline="0" multipleItemSelectionAllowed="1" showAll="0">
      <items count="1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name="GameCount" compact="0" numFmtId="2" outline="0" multipleItemSelectionAllowed="1" showAll="0">
      <items count="5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location " compact="0" outline="0" multipleItemSelectionAllowe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pponent " axis="axisPage" compact="0" outline="0" multipleItemSelectionAllowed="1" showAll="0">
      <items count="39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t="default"/>
      </items>
    </pivotField>
    <pivotField name="win/loss" compact="0" outline="0" multipleItemSelectionAllowed="1" showAll="0">
      <items count="3">
        <item x="0"/>
        <item x="1"/>
        <item t="default"/>
      </items>
    </pivotField>
    <pivotField name="win type" axis="axisCol" dataField="1" compact="0" outline="0" multipleItemSelectionAllowed="1" showAll="0" sortType="ascending">
      <items count="9">
        <item x="5"/>
        <item x="3"/>
        <item x="2"/>
        <item x="1"/>
        <item x="4"/>
        <item x="7"/>
        <item x="6"/>
        <item x="0"/>
        <item t="default"/>
      </items>
    </pivotField>
    <pivotField name="loser remainder" compact="0" outline="0" multipleItemSelectionAllowe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break" axis="axisRow" compact="0" outline="0" multipleItemSelectionAllowed="1" showAll="0" sortType="ascending">
      <items count="22">
        <item x="3"/>
        <item x="15"/>
        <item x="5"/>
        <item x="0"/>
        <item x="10"/>
        <item x="14"/>
        <item x="12"/>
        <item x="18"/>
        <item x="4"/>
        <item x="2"/>
        <item x="9"/>
        <item x="7"/>
        <item x="17"/>
        <item x="20"/>
        <item x="13"/>
        <item x="11"/>
        <item x="8"/>
        <item x="19"/>
        <item x="6"/>
        <item x="16"/>
        <item x="1"/>
        <item t="default"/>
      </items>
    </pivotField>
    <pivotField name="winner remaining " compact="0" outline="0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7"/>
  </rowFields>
  <colFields count="1">
    <field x="5"/>
  </colFields>
  <pageFields count="1">
    <pageField fld="3" hier="0"/>
  </pageFields>
  <dataFields count="1">
    <dataField name="Count of win type" fld="5" subtotal="count" showDataAs="percentOfTota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613">
  <autoFilter ref="A1:I613" xr:uid="{00000000-000C-0000-FFFF-FFFF00000000}"/>
  <tableColumns count="9">
    <tableColumn id="1" xr3:uid="{00000000-0010-0000-0000-000001000000}" name="date"/>
    <tableColumn id="2" xr3:uid="{00000000-0010-0000-0000-000002000000}" name="GameCount"/>
    <tableColumn id="3" xr3:uid="{00000000-0010-0000-0000-000003000000}" name="location "/>
    <tableColumn id="4" xr3:uid="{00000000-0010-0000-0000-000004000000}" name="opponent "/>
    <tableColumn id="5" xr3:uid="{00000000-0010-0000-0000-000005000000}" name="win/loss"/>
    <tableColumn id="6" xr3:uid="{00000000-0010-0000-0000-000006000000}" name="win type"/>
    <tableColumn id="7" xr3:uid="{00000000-0010-0000-0000-000007000000}" name="loser remainder"/>
    <tableColumn id="8" xr3:uid="{00000000-0010-0000-0000-000008000000}" name="break"/>
    <tableColumn id="9" xr3:uid="{00000000-0010-0000-0000-000009000000}" name="winner remaining 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 /><Relationship Id="rId1" Type="http://schemas.openxmlformats.org/officeDocument/2006/relationships/pivotTable" Target="../pivotTables/pivotTable1.xml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/>
  </sheetViews>
  <sheetFormatPr defaultColWidth="14.390625" defaultRowHeight="15" customHeight="1" x14ac:dyDescent="0.2"/>
  <cols>
    <col min="1" max="1" width="13.1796875" customWidth="1"/>
    <col min="2" max="2" width="16.27734375" customWidth="1"/>
    <col min="3" max="3" width="2.5546875" customWidth="1"/>
    <col min="4" max="4" width="11.296875" customWidth="1"/>
    <col min="5" max="5" width="13.5859375" customWidth="1"/>
    <col min="6" max="7" width="11.296875" customWidth="1"/>
    <col min="8" max="26" width="8.7421875" customWidth="1"/>
  </cols>
  <sheetData>
    <row r="1" spans="1:7" x14ac:dyDescent="0.2">
      <c r="A1" s="1"/>
    </row>
    <row r="3" spans="1:7" x14ac:dyDescent="0.2"/>
    <row r="4" spans="1:7" x14ac:dyDescent="0.2"/>
    <row r="5" spans="1:7" x14ac:dyDescent="0.2"/>
    <row r="6" spans="1:7" x14ac:dyDescent="0.2"/>
    <row r="7" spans="1:7" x14ac:dyDescent="0.2"/>
    <row r="12" spans="1:7" x14ac:dyDescent="0.2">
      <c r="A12" s="1"/>
    </row>
    <row r="14" spans="1:7" x14ac:dyDescent="0.2"/>
    <row r="15" spans="1:7" x14ac:dyDescent="0.2">
      <c r="G15" s="1"/>
    </row>
    <row r="16" spans="1:7" x14ac:dyDescent="0.2"/>
    <row r="17" spans="1:1" x14ac:dyDescent="0.2"/>
    <row r="18" spans="1:1" x14ac:dyDescent="0.2"/>
    <row r="19" spans="1:1" x14ac:dyDescent="0.2"/>
    <row r="20" spans="1:1" x14ac:dyDescent="0.2"/>
    <row r="21" spans="1:1" ht="15.75" customHeight="1" x14ac:dyDescent="0.2"/>
    <row r="22" spans="1:1" ht="15.75" customHeight="1" x14ac:dyDescent="0.2"/>
    <row r="23" spans="1:1" ht="15.75" customHeight="1" x14ac:dyDescent="0.2"/>
    <row r="24" spans="1:1" ht="15.75" customHeight="1" x14ac:dyDescent="0.2"/>
    <row r="25" spans="1:1" ht="15.75" customHeight="1" x14ac:dyDescent="0.2"/>
    <row r="26" spans="1:1" ht="15.75" customHeight="1" x14ac:dyDescent="0.2">
      <c r="A26" s="3"/>
    </row>
    <row r="27" spans="1:1" ht="15.75" customHeight="1" x14ac:dyDescent="0.2"/>
    <row r="28" spans="1:1" ht="15.75" customHeight="1" x14ac:dyDescent="0.2"/>
    <row r="29" spans="1:1" ht="15.75" customHeight="1" x14ac:dyDescent="0.2"/>
    <row r="30" spans="1:1" ht="15.75" customHeight="1" x14ac:dyDescent="0.2"/>
    <row r="31" spans="1:1" ht="15.75" customHeight="1" x14ac:dyDescent="0.2"/>
    <row r="32" spans="1: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390625" defaultRowHeight="15" customHeight="1" x14ac:dyDescent="0.2"/>
  <cols>
    <col min="1" max="1" width="16.6796875" customWidth="1"/>
    <col min="2" max="2" width="16.27734375" customWidth="1"/>
    <col min="3" max="3" width="8.0703125" customWidth="1"/>
    <col min="4" max="4" width="11.296875" customWidth="1"/>
    <col min="5" max="5" width="5.91796875" customWidth="1"/>
    <col min="6" max="6" width="5.51171875" customWidth="1"/>
    <col min="7" max="26" width="8.7421875" customWidth="1"/>
  </cols>
  <sheetData>
    <row r="1" spans="1:4" x14ac:dyDescent="0.2">
      <c r="A1" s="1" t="s">
        <v>10</v>
      </c>
      <c r="B1" s="2" t="s">
        <v>7</v>
      </c>
    </row>
    <row r="2" spans="1:4" x14ac:dyDescent="0.2">
      <c r="A2" s="1" t="s">
        <v>9</v>
      </c>
      <c r="B2" s="2" t="s">
        <v>12</v>
      </c>
    </row>
    <row r="4" spans="1:4" x14ac:dyDescent="0.2">
      <c r="A4" s="1" t="s">
        <v>13</v>
      </c>
      <c r="B4" s="1" t="s">
        <v>14</v>
      </c>
    </row>
    <row r="5" spans="1:4" x14ac:dyDescent="0.2">
      <c r="A5" s="1" t="s">
        <v>15</v>
      </c>
      <c r="B5" s="2" t="s">
        <v>7</v>
      </c>
      <c r="C5" s="2" t="s">
        <v>8</v>
      </c>
      <c r="D5" s="2" t="s">
        <v>6</v>
      </c>
    </row>
    <row r="6" spans="1:4" x14ac:dyDescent="0.2">
      <c r="A6" s="3">
        <v>0</v>
      </c>
      <c r="B6" s="1">
        <v>0.4</v>
      </c>
      <c r="C6" s="1">
        <v>0.55000000000000004</v>
      </c>
      <c r="D6" s="1">
        <v>0.46666666666666667</v>
      </c>
    </row>
    <row r="7" spans="1:4" x14ac:dyDescent="0.2">
      <c r="A7" s="3">
        <v>1</v>
      </c>
      <c r="B7" s="1">
        <v>0.25</v>
      </c>
      <c r="C7" s="1">
        <v>0.375</v>
      </c>
      <c r="D7" s="1">
        <v>0.3125</v>
      </c>
    </row>
    <row r="8" spans="1:4" x14ac:dyDescent="0.2">
      <c r="A8" s="3">
        <v>2</v>
      </c>
      <c r="B8" s="1">
        <v>0</v>
      </c>
      <c r="C8" s="1">
        <v>0.16666666666666666</v>
      </c>
      <c r="D8" s="1">
        <v>0.1111111111111111</v>
      </c>
    </row>
    <row r="9" spans="1:4" x14ac:dyDescent="0.2">
      <c r="A9" s="3">
        <v>3</v>
      </c>
      <c r="B9" s="1">
        <v>0.25</v>
      </c>
      <c r="C9" s="1">
        <v>0.8</v>
      </c>
      <c r="D9" s="1">
        <v>0.55555555555555558</v>
      </c>
    </row>
    <row r="10" spans="1:4" x14ac:dyDescent="0.2">
      <c r="A10" s="3">
        <v>4</v>
      </c>
      <c r="B10" s="1">
        <v>0.5</v>
      </c>
      <c r="C10" s="1">
        <v>0</v>
      </c>
      <c r="D10" s="1">
        <v>0.2</v>
      </c>
    </row>
    <row r="11" spans="1:4" x14ac:dyDescent="0.2">
      <c r="A11" s="3">
        <v>5</v>
      </c>
      <c r="B11" s="1">
        <v>0</v>
      </c>
      <c r="C11" s="1">
        <v>0</v>
      </c>
      <c r="D11" s="1">
        <v>0</v>
      </c>
    </row>
    <row r="12" spans="1:4" x14ac:dyDescent="0.2">
      <c r="A12" s="3">
        <v>6</v>
      </c>
      <c r="B12" s="1">
        <v>0.5</v>
      </c>
      <c r="C12" s="1"/>
      <c r="D12" s="1">
        <v>0.5</v>
      </c>
    </row>
    <row r="13" spans="1:4" x14ac:dyDescent="0.2">
      <c r="A13" s="3">
        <v>7</v>
      </c>
      <c r="B13" s="1"/>
      <c r="C13" s="1">
        <v>0</v>
      </c>
      <c r="D13" s="1">
        <v>0</v>
      </c>
    </row>
    <row r="14" spans="1:4" x14ac:dyDescent="0.2">
      <c r="A14" s="3" t="s">
        <v>6</v>
      </c>
      <c r="B14" s="1">
        <v>0.3125</v>
      </c>
      <c r="C14" s="1">
        <v>0.43181818181818182</v>
      </c>
      <c r="D14" s="1">
        <v>0.36956521739130432</v>
      </c>
    </row>
    <row r="18" spans="1:4" x14ac:dyDescent="0.2">
      <c r="A18" s="1" t="s">
        <v>10</v>
      </c>
      <c r="B18" s="2" t="s">
        <v>7</v>
      </c>
    </row>
    <row r="20" spans="1:4" x14ac:dyDescent="0.2">
      <c r="A20" s="1" t="s">
        <v>16</v>
      </c>
      <c r="B20" s="1" t="s">
        <v>14</v>
      </c>
    </row>
    <row r="21" spans="1:4" ht="15.75" customHeight="1" x14ac:dyDescent="0.2">
      <c r="A21" s="1" t="s">
        <v>15</v>
      </c>
      <c r="B21" s="2">
        <v>0</v>
      </c>
      <c r="C21" s="2">
        <v>1</v>
      </c>
      <c r="D21" s="2" t="s">
        <v>6</v>
      </c>
    </row>
    <row r="22" spans="1:4" ht="15.75" customHeight="1" x14ac:dyDescent="0.2">
      <c r="A22" s="3">
        <v>0</v>
      </c>
      <c r="B22" s="4">
        <v>0.41379310344827586</v>
      </c>
      <c r="C22" s="4">
        <v>0.61764705882352944</v>
      </c>
      <c r="D22" s="4">
        <v>0.4891304347826087</v>
      </c>
    </row>
    <row r="23" spans="1:4" ht="15.75" customHeight="1" x14ac:dyDescent="0.2">
      <c r="A23" s="3">
        <v>1</v>
      </c>
      <c r="B23" s="4">
        <v>0.18965517241379309</v>
      </c>
      <c r="C23" s="4">
        <v>0.14705882352941177</v>
      </c>
      <c r="D23" s="4">
        <v>0.17391304347826086</v>
      </c>
    </row>
    <row r="24" spans="1:4" ht="15.75" customHeight="1" x14ac:dyDescent="0.2">
      <c r="A24" s="3">
        <v>2</v>
      </c>
      <c r="B24" s="4">
        <v>0.13793103448275862</v>
      </c>
      <c r="C24" s="4">
        <v>2.9411764705882353E-2</v>
      </c>
      <c r="D24" s="4">
        <v>9.7826086956521743E-2</v>
      </c>
    </row>
    <row r="25" spans="1:4" ht="15.75" customHeight="1" x14ac:dyDescent="0.2">
      <c r="A25" s="3">
        <v>3</v>
      </c>
      <c r="B25" s="4">
        <v>6.8965517241379309E-2</v>
      </c>
      <c r="C25" s="4">
        <v>0.14705882352941177</v>
      </c>
      <c r="D25" s="4">
        <v>9.7826086956521743E-2</v>
      </c>
    </row>
    <row r="26" spans="1:4" ht="15.75" customHeight="1" x14ac:dyDescent="0.2">
      <c r="A26" s="3">
        <v>4</v>
      </c>
      <c r="B26" s="4">
        <v>6.8965517241379309E-2</v>
      </c>
      <c r="C26" s="4">
        <v>2.9411764705882353E-2</v>
      </c>
      <c r="D26" s="4">
        <v>5.434782608695652E-2</v>
      </c>
    </row>
    <row r="27" spans="1:4" ht="15.75" customHeight="1" x14ac:dyDescent="0.2">
      <c r="A27" s="3">
        <v>5</v>
      </c>
      <c r="B27" s="4">
        <v>8.6206896551724144E-2</v>
      </c>
      <c r="C27" s="4">
        <v>0</v>
      </c>
      <c r="D27" s="4">
        <v>5.434782608695652E-2</v>
      </c>
    </row>
    <row r="28" spans="1:4" ht="15.75" customHeight="1" x14ac:dyDescent="0.2">
      <c r="A28" s="3">
        <v>6</v>
      </c>
      <c r="B28" s="4">
        <v>1.7241379310344827E-2</v>
      </c>
      <c r="C28" s="4">
        <v>2.9411764705882353E-2</v>
      </c>
      <c r="D28" s="4">
        <v>2.1739130434782608E-2</v>
      </c>
    </row>
    <row r="29" spans="1:4" ht="15.75" customHeight="1" x14ac:dyDescent="0.2">
      <c r="A29" s="3">
        <v>7</v>
      </c>
      <c r="B29" s="4">
        <v>1.7241379310344827E-2</v>
      </c>
      <c r="C29" s="4">
        <v>0</v>
      </c>
      <c r="D29" s="4">
        <v>1.0869565217391304E-2</v>
      </c>
    </row>
    <row r="30" spans="1:4" ht="15.75" customHeight="1" x14ac:dyDescent="0.2">
      <c r="A30" s="3" t="s">
        <v>6</v>
      </c>
      <c r="B30" s="4">
        <v>1</v>
      </c>
      <c r="C30" s="4">
        <v>1</v>
      </c>
      <c r="D30" s="4">
        <v>1</v>
      </c>
    </row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/>
  </sheetViews>
  <sheetFormatPr defaultColWidth="14.390625" defaultRowHeight="15" customHeight="1" x14ac:dyDescent="0.2"/>
  <cols>
    <col min="1" max="1" width="18.0234375" customWidth="1"/>
    <col min="2" max="2" width="17.75390625" customWidth="1"/>
    <col min="3" max="3" width="14.52734375" customWidth="1"/>
    <col min="4" max="5" width="11.97265625" customWidth="1"/>
    <col min="6" max="6" width="13.44921875" customWidth="1"/>
    <col min="7" max="7" width="11.97265625" customWidth="1"/>
    <col min="8" max="8" width="12.375" customWidth="1"/>
    <col min="9" max="9" width="12.5078125" customWidth="1"/>
    <col min="10" max="26" width="8.7421875" customWidth="1"/>
  </cols>
  <sheetData>
    <row r="1" spans="1:9" x14ac:dyDescent="0.2">
      <c r="A1" s="2" t="s">
        <v>17</v>
      </c>
    </row>
    <row r="3" spans="1:9" x14ac:dyDescent="0.2">
      <c r="A3" s="18" t="s">
        <v>18</v>
      </c>
      <c r="B3" s="19"/>
    </row>
    <row r="4" spans="1:9" x14ac:dyDescent="0.2">
      <c r="A4" s="1" t="s">
        <v>19</v>
      </c>
      <c r="B4" s="6">
        <v>0.14524793388430327</v>
      </c>
      <c r="C4" s="6"/>
      <c r="D4" s="6"/>
      <c r="E4" s="6"/>
      <c r="F4" s="6"/>
      <c r="G4" s="6"/>
      <c r="H4" s="6"/>
    </row>
    <row r="5" spans="1:9" x14ac:dyDescent="0.2">
      <c r="A5" s="1" t="s">
        <v>20</v>
      </c>
      <c r="B5" s="6">
        <v>2.1096962297658933E-2</v>
      </c>
      <c r="C5" s="6"/>
      <c r="D5" s="6"/>
      <c r="E5" s="6"/>
      <c r="F5" s="6"/>
      <c r="G5" s="6"/>
      <c r="H5" s="6"/>
    </row>
    <row r="6" spans="1:9" x14ac:dyDescent="0.2">
      <c r="A6" s="1" t="s">
        <v>21</v>
      </c>
      <c r="B6" s="6">
        <v>1.7001133688025704E-2</v>
      </c>
      <c r="C6" s="6"/>
      <c r="D6" s="6"/>
      <c r="E6" s="6"/>
      <c r="F6" s="6"/>
      <c r="G6" s="6"/>
      <c r="H6" s="6"/>
    </row>
    <row r="7" spans="1:9" x14ac:dyDescent="0.2">
      <c r="A7" s="1" t="s">
        <v>22</v>
      </c>
      <c r="B7" s="6">
        <v>0.49675892034822849</v>
      </c>
      <c r="C7" s="6"/>
      <c r="D7" s="6"/>
      <c r="E7" s="6"/>
      <c r="F7" s="6"/>
      <c r="G7" s="6"/>
      <c r="H7" s="6"/>
    </row>
    <row r="8" spans="1:9" x14ac:dyDescent="0.2">
      <c r="A8" s="7" t="s">
        <v>23</v>
      </c>
      <c r="B8" s="8">
        <v>241</v>
      </c>
      <c r="C8" s="6"/>
      <c r="D8" s="6"/>
      <c r="E8" s="6"/>
      <c r="F8" s="6"/>
      <c r="G8" s="6"/>
      <c r="H8" s="6"/>
    </row>
    <row r="9" spans="1:9" x14ac:dyDescent="0.2">
      <c r="B9" s="6"/>
      <c r="C9" s="6"/>
      <c r="D9" s="6"/>
      <c r="E9" s="6"/>
      <c r="F9" s="6"/>
      <c r="G9" s="6"/>
      <c r="H9" s="6"/>
    </row>
    <row r="10" spans="1:9" x14ac:dyDescent="0.2">
      <c r="A10" s="2" t="s">
        <v>24</v>
      </c>
      <c r="B10" s="6"/>
      <c r="C10" s="6"/>
      <c r="D10" s="6"/>
      <c r="E10" s="6"/>
      <c r="F10" s="6"/>
      <c r="G10" s="6"/>
      <c r="H10" s="6"/>
    </row>
    <row r="11" spans="1:9" x14ac:dyDescent="0.2">
      <c r="A11" s="5"/>
      <c r="B11" s="9" t="s">
        <v>25</v>
      </c>
      <c r="C11" s="9" t="s">
        <v>26</v>
      </c>
      <c r="D11" s="9" t="s">
        <v>27</v>
      </c>
      <c r="E11" s="9" t="s">
        <v>28</v>
      </c>
      <c r="F11" s="9" t="s">
        <v>29</v>
      </c>
      <c r="G11" s="6"/>
      <c r="H11" s="6"/>
    </row>
    <row r="12" spans="1:9" x14ac:dyDescent="0.2">
      <c r="A12" s="1" t="s">
        <v>30</v>
      </c>
      <c r="B12" s="6">
        <v>1</v>
      </c>
      <c r="C12" s="6">
        <v>1.2710700936182917</v>
      </c>
      <c r="D12" s="6">
        <v>1.2710700936182917</v>
      </c>
      <c r="E12" s="6">
        <v>5.1508410894048922</v>
      </c>
      <c r="F12" s="6">
        <v>2.4126856003697534E-2</v>
      </c>
      <c r="G12" s="6"/>
      <c r="H12" s="6"/>
    </row>
    <row r="13" spans="1:9" x14ac:dyDescent="0.2">
      <c r="A13" s="1" t="s">
        <v>31</v>
      </c>
      <c r="B13" s="6">
        <v>239</v>
      </c>
      <c r="C13" s="6">
        <v>58.977892561983488</v>
      </c>
      <c r="D13" s="6">
        <v>0.24676942494553761</v>
      </c>
      <c r="E13" s="6"/>
      <c r="F13" s="6"/>
      <c r="G13" s="6"/>
      <c r="H13" s="6"/>
    </row>
    <row r="14" spans="1:9" x14ac:dyDescent="0.2">
      <c r="A14" s="7" t="s">
        <v>32</v>
      </c>
      <c r="B14" s="8">
        <v>240</v>
      </c>
      <c r="C14" s="8">
        <v>60.24896265560178</v>
      </c>
      <c r="D14" s="8"/>
      <c r="E14" s="8"/>
      <c r="F14" s="8"/>
      <c r="G14" s="6"/>
      <c r="H14" s="6"/>
    </row>
    <row r="15" spans="1:9" x14ac:dyDescent="0.2">
      <c r="B15" s="6"/>
      <c r="C15" s="6"/>
      <c r="D15" s="6"/>
      <c r="E15" s="6"/>
      <c r="F15" s="6"/>
      <c r="G15" s="6"/>
      <c r="H15" s="6"/>
    </row>
    <row r="16" spans="1:9" x14ac:dyDescent="0.2">
      <c r="A16" s="5"/>
      <c r="B16" s="9" t="s">
        <v>33</v>
      </c>
      <c r="C16" s="9" t="s">
        <v>22</v>
      </c>
      <c r="D16" s="9" t="s">
        <v>34</v>
      </c>
      <c r="E16" s="9" t="s">
        <v>35</v>
      </c>
      <c r="F16" s="9" t="s">
        <v>36</v>
      </c>
      <c r="G16" s="9" t="s">
        <v>37</v>
      </c>
      <c r="H16" s="9" t="s">
        <v>38</v>
      </c>
      <c r="I16" s="5" t="s">
        <v>39</v>
      </c>
    </row>
    <row r="17" spans="1:9" x14ac:dyDescent="0.2">
      <c r="A17" s="1" t="s">
        <v>40</v>
      </c>
      <c r="B17" s="6">
        <v>0.42975206611570249</v>
      </c>
      <c r="C17" s="6">
        <v>4.5159901849838945E-2</v>
      </c>
      <c r="D17" s="6">
        <v>9.5162311810302374</v>
      </c>
      <c r="E17" s="6">
        <v>2.0594137609990162E-18</v>
      </c>
      <c r="F17" s="6">
        <v>0.34078979589436281</v>
      </c>
      <c r="G17" s="6">
        <v>0.51871433633704211</v>
      </c>
      <c r="H17" s="6">
        <v>0.34078979589436281</v>
      </c>
      <c r="I17" s="1">
        <v>0.51871433633704211</v>
      </c>
    </row>
    <row r="18" spans="1:9" x14ac:dyDescent="0.2">
      <c r="A18" s="7" t="s">
        <v>41</v>
      </c>
      <c r="B18" s="8">
        <v>0.14524793388429744</v>
      </c>
      <c r="C18" s="8">
        <v>6.3998660998752399E-2</v>
      </c>
      <c r="D18" s="8">
        <v>2.2695464501535261</v>
      </c>
      <c r="E18" s="8">
        <v>2.4126856003703168E-2</v>
      </c>
      <c r="F18" s="8">
        <v>1.9174449656934628E-2</v>
      </c>
      <c r="G18" s="8">
        <v>0.27132141811166022</v>
      </c>
      <c r="H18" s="8">
        <v>1.9174449656934628E-2</v>
      </c>
      <c r="I18" s="7">
        <v>0.27132141811166022</v>
      </c>
    </row>
    <row r="19" spans="1:9" x14ac:dyDescent="0.2">
      <c r="B19" s="6"/>
      <c r="C19" s="6"/>
      <c r="D19" s="6"/>
      <c r="E19" s="6"/>
      <c r="F19" s="6"/>
      <c r="G19" s="6"/>
      <c r="H19" s="6"/>
    </row>
    <row r="20" spans="1:9" x14ac:dyDescent="0.2">
      <c r="B20" s="6"/>
      <c r="C20" s="6"/>
      <c r="D20" s="6"/>
      <c r="E20" s="6"/>
      <c r="F20" s="6"/>
      <c r="G20" s="6"/>
      <c r="H20" s="6"/>
    </row>
    <row r="21" spans="1:9" ht="15.75" customHeight="1" x14ac:dyDescent="0.2">
      <c r="B21" s="6"/>
      <c r="C21" s="6"/>
      <c r="D21" s="6"/>
      <c r="E21" s="6"/>
      <c r="F21" s="6"/>
      <c r="G21" s="6"/>
      <c r="H21" s="6"/>
    </row>
    <row r="22" spans="1:9" ht="15.75" customHeight="1" x14ac:dyDescent="0.2">
      <c r="A22" s="2" t="s">
        <v>42</v>
      </c>
      <c r="B22" s="6"/>
      <c r="C22" s="6"/>
      <c r="D22" s="6"/>
      <c r="E22" s="6"/>
      <c r="F22" s="6"/>
      <c r="G22" s="6"/>
      <c r="H22" s="6"/>
    </row>
    <row r="23" spans="1:9" ht="15.75" customHeight="1" x14ac:dyDescent="0.2">
      <c r="B23" s="6"/>
      <c r="C23" s="6"/>
      <c r="D23" s="6"/>
      <c r="E23" s="6"/>
      <c r="F23" s="6"/>
      <c r="G23" s="6"/>
      <c r="H23" s="6"/>
    </row>
    <row r="24" spans="1:9" ht="15.75" customHeight="1" x14ac:dyDescent="0.2">
      <c r="A24" s="5" t="s">
        <v>43</v>
      </c>
      <c r="B24" s="9" t="s">
        <v>44</v>
      </c>
      <c r="C24" s="9" t="s">
        <v>45</v>
      </c>
      <c r="D24" s="6"/>
      <c r="E24" s="6"/>
      <c r="F24" s="6"/>
      <c r="G24" s="6"/>
      <c r="H24" s="6"/>
    </row>
    <row r="25" spans="1:9" ht="15.75" customHeight="1" x14ac:dyDescent="0.2">
      <c r="A25" s="1">
        <v>1</v>
      </c>
      <c r="B25" s="6">
        <v>0.42975206611570249</v>
      </c>
      <c r="C25" s="6">
        <v>-0.42975206611570249</v>
      </c>
      <c r="D25" s="6"/>
      <c r="E25" s="6"/>
      <c r="F25" s="6"/>
      <c r="G25" s="6"/>
      <c r="H25" s="6"/>
    </row>
    <row r="26" spans="1:9" ht="15.75" customHeight="1" x14ac:dyDescent="0.2">
      <c r="A26" s="1">
        <v>2</v>
      </c>
      <c r="B26" s="6">
        <v>0.57499999999999996</v>
      </c>
      <c r="C26" s="6">
        <v>-0.57499999999999996</v>
      </c>
      <c r="D26" s="6"/>
      <c r="E26" s="6"/>
      <c r="F26" s="6"/>
      <c r="G26" s="6"/>
      <c r="H26" s="6"/>
    </row>
    <row r="27" spans="1:9" ht="15.75" customHeight="1" x14ac:dyDescent="0.2">
      <c r="A27" s="1">
        <v>3</v>
      </c>
      <c r="B27" s="6">
        <v>0.42975206611570249</v>
      </c>
      <c r="C27" s="6">
        <v>0.57024793388429751</v>
      </c>
      <c r="D27" s="6"/>
      <c r="E27" s="6"/>
      <c r="F27" s="6"/>
      <c r="G27" s="6"/>
      <c r="H27" s="6"/>
    </row>
    <row r="28" spans="1:9" ht="15.75" customHeight="1" x14ac:dyDescent="0.2">
      <c r="A28" s="1">
        <v>4</v>
      </c>
      <c r="B28" s="6">
        <v>0.42975206611570249</v>
      </c>
      <c r="C28" s="6">
        <v>0.57024793388429751</v>
      </c>
      <c r="D28" s="6"/>
      <c r="E28" s="6"/>
      <c r="F28" s="6"/>
      <c r="G28" s="6"/>
      <c r="H28" s="6"/>
    </row>
    <row r="29" spans="1:9" ht="15.75" customHeight="1" x14ac:dyDescent="0.2">
      <c r="A29" s="1">
        <v>5</v>
      </c>
      <c r="B29" s="6">
        <v>0.57499999999999996</v>
      </c>
      <c r="C29" s="6">
        <v>0.42500000000000004</v>
      </c>
      <c r="D29" s="6"/>
      <c r="E29" s="6"/>
      <c r="F29" s="6"/>
      <c r="G29" s="6"/>
      <c r="H29" s="6"/>
    </row>
    <row r="30" spans="1:9" ht="15.75" customHeight="1" x14ac:dyDescent="0.2">
      <c r="A30" s="1">
        <v>6</v>
      </c>
      <c r="B30" s="6">
        <v>0.42975206611570249</v>
      </c>
      <c r="C30" s="6">
        <v>-0.42975206611570249</v>
      </c>
      <c r="D30" s="6"/>
      <c r="E30" s="6"/>
      <c r="F30" s="6"/>
      <c r="G30" s="6"/>
      <c r="H30" s="6"/>
    </row>
    <row r="31" spans="1:9" ht="15.75" customHeight="1" x14ac:dyDescent="0.2">
      <c r="A31" s="1">
        <v>7</v>
      </c>
      <c r="B31" s="6">
        <v>0.42975206611570249</v>
      </c>
      <c r="C31" s="6">
        <v>-0.42975206611570249</v>
      </c>
      <c r="D31" s="6"/>
      <c r="E31" s="6"/>
      <c r="F31" s="6"/>
      <c r="G31" s="6"/>
      <c r="H31" s="6"/>
    </row>
    <row r="32" spans="1:9" ht="15.75" customHeight="1" x14ac:dyDescent="0.2">
      <c r="A32" s="1">
        <v>8</v>
      </c>
      <c r="B32" s="6">
        <v>0.42975206611570249</v>
      </c>
      <c r="C32" s="6">
        <v>-0.42975206611570249</v>
      </c>
      <c r="D32" s="6"/>
      <c r="E32" s="6"/>
      <c r="F32" s="6"/>
      <c r="G32" s="6"/>
      <c r="H32" s="6"/>
    </row>
    <row r="33" spans="1:8" ht="15.75" customHeight="1" x14ac:dyDescent="0.2">
      <c r="A33" s="1">
        <v>9</v>
      </c>
      <c r="B33" s="6">
        <v>0.57499999999999996</v>
      </c>
      <c r="C33" s="6">
        <v>0.42500000000000004</v>
      </c>
      <c r="D33" s="6"/>
      <c r="E33" s="6"/>
      <c r="F33" s="6"/>
      <c r="G33" s="6"/>
      <c r="H33" s="6"/>
    </row>
    <row r="34" spans="1:8" ht="15.75" customHeight="1" x14ac:dyDescent="0.2">
      <c r="A34" s="1">
        <v>10</v>
      </c>
      <c r="B34" s="6">
        <v>0.42975206611570249</v>
      </c>
      <c r="C34" s="6">
        <v>0.57024793388429751</v>
      </c>
      <c r="D34" s="6"/>
      <c r="E34" s="6"/>
      <c r="F34" s="6"/>
      <c r="G34" s="6"/>
      <c r="H34" s="6"/>
    </row>
    <row r="35" spans="1:8" ht="15.75" customHeight="1" x14ac:dyDescent="0.2">
      <c r="A35" s="1">
        <v>11</v>
      </c>
      <c r="B35" s="6">
        <v>0.42975206611570249</v>
      </c>
      <c r="C35" s="6">
        <v>-0.42975206611570249</v>
      </c>
      <c r="D35" s="6"/>
      <c r="E35" s="6"/>
      <c r="F35" s="6"/>
      <c r="G35" s="6"/>
      <c r="H35" s="6"/>
    </row>
    <row r="36" spans="1:8" ht="15.75" customHeight="1" x14ac:dyDescent="0.2">
      <c r="A36" s="1">
        <v>12</v>
      </c>
      <c r="B36" s="6">
        <v>0.57499999999999996</v>
      </c>
      <c r="C36" s="6">
        <v>-0.57499999999999996</v>
      </c>
      <c r="D36" s="6"/>
      <c r="E36" s="6"/>
      <c r="F36" s="6"/>
      <c r="G36" s="6"/>
      <c r="H36" s="6"/>
    </row>
    <row r="37" spans="1:8" ht="15.75" customHeight="1" x14ac:dyDescent="0.2">
      <c r="A37" s="1">
        <v>13</v>
      </c>
      <c r="B37" s="6">
        <v>0.42975206611570249</v>
      </c>
      <c r="C37" s="6">
        <v>-0.42975206611570249</v>
      </c>
      <c r="D37" s="6"/>
      <c r="E37" s="6"/>
      <c r="F37" s="6"/>
      <c r="G37" s="6"/>
      <c r="H37" s="6"/>
    </row>
    <row r="38" spans="1:8" ht="15.75" customHeight="1" x14ac:dyDescent="0.2">
      <c r="A38" s="1">
        <v>14</v>
      </c>
      <c r="B38" s="6">
        <v>0.57499999999999996</v>
      </c>
      <c r="C38" s="6">
        <v>-0.57499999999999996</v>
      </c>
      <c r="D38" s="6"/>
      <c r="E38" s="6"/>
      <c r="F38" s="6"/>
      <c r="G38" s="6"/>
      <c r="H38" s="6"/>
    </row>
    <row r="39" spans="1:8" ht="15.75" customHeight="1" x14ac:dyDescent="0.2">
      <c r="A39" s="1">
        <v>15</v>
      </c>
      <c r="B39" s="6">
        <v>0.42975206611570249</v>
      </c>
      <c r="C39" s="6">
        <v>-0.42975206611570249</v>
      </c>
      <c r="D39" s="6"/>
      <c r="E39" s="6"/>
      <c r="F39" s="6"/>
      <c r="G39" s="6"/>
      <c r="H39" s="6"/>
    </row>
    <row r="40" spans="1:8" ht="15.75" customHeight="1" x14ac:dyDescent="0.2">
      <c r="A40" s="1">
        <v>16</v>
      </c>
      <c r="B40" s="6">
        <v>0.57499999999999996</v>
      </c>
      <c r="C40" s="6">
        <v>-0.57499999999999996</v>
      </c>
      <c r="D40" s="6"/>
      <c r="E40" s="6"/>
      <c r="F40" s="6"/>
      <c r="G40" s="6"/>
      <c r="H40" s="6"/>
    </row>
    <row r="41" spans="1:8" ht="15.75" customHeight="1" x14ac:dyDescent="0.2">
      <c r="A41" s="1">
        <v>17</v>
      </c>
      <c r="B41" s="6">
        <v>0.42975206611570249</v>
      </c>
      <c r="C41" s="6">
        <v>-0.42975206611570249</v>
      </c>
      <c r="D41" s="6"/>
      <c r="E41" s="6"/>
      <c r="F41" s="6"/>
      <c r="G41" s="6"/>
      <c r="H41" s="6"/>
    </row>
    <row r="42" spans="1:8" ht="15.75" customHeight="1" x14ac:dyDescent="0.2">
      <c r="A42" s="1">
        <v>18</v>
      </c>
      <c r="B42" s="6">
        <v>0.42975206611570249</v>
      </c>
      <c r="C42" s="6">
        <v>-0.42975206611570249</v>
      </c>
      <c r="D42" s="6"/>
      <c r="E42" s="6"/>
      <c r="F42" s="6"/>
      <c r="G42" s="6"/>
      <c r="H42" s="6"/>
    </row>
    <row r="43" spans="1:8" ht="15.75" customHeight="1" x14ac:dyDescent="0.2">
      <c r="A43" s="1">
        <v>19</v>
      </c>
      <c r="B43" s="6">
        <v>0.57499999999999996</v>
      </c>
      <c r="C43" s="6">
        <v>-0.57499999999999996</v>
      </c>
      <c r="D43" s="6"/>
      <c r="E43" s="6"/>
      <c r="F43" s="6"/>
      <c r="G43" s="6"/>
      <c r="H43" s="6"/>
    </row>
    <row r="44" spans="1:8" ht="15.75" customHeight="1" x14ac:dyDescent="0.2">
      <c r="A44" s="1">
        <v>20</v>
      </c>
      <c r="B44" s="6">
        <v>0.42975206611570249</v>
      </c>
      <c r="C44" s="6">
        <v>0.57024793388429751</v>
      </c>
      <c r="D44" s="6"/>
      <c r="E44" s="6"/>
      <c r="F44" s="6"/>
      <c r="G44" s="6"/>
      <c r="H44" s="6"/>
    </row>
    <row r="45" spans="1:8" ht="15.75" customHeight="1" x14ac:dyDescent="0.2">
      <c r="A45" s="1">
        <v>21</v>
      </c>
      <c r="B45" s="6">
        <v>0.57499999999999996</v>
      </c>
      <c r="C45" s="6">
        <v>-0.57499999999999996</v>
      </c>
      <c r="D45" s="6"/>
      <c r="E45" s="6"/>
      <c r="F45" s="6"/>
      <c r="G45" s="6"/>
      <c r="H45" s="6"/>
    </row>
    <row r="46" spans="1:8" ht="15.75" customHeight="1" x14ac:dyDescent="0.2">
      <c r="A46" s="1">
        <v>22</v>
      </c>
      <c r="B46" s="6">
        <v>0.42975206611570249</v>
      </c>
      <c r="C46" s="6">
        <v>-0.42975206611570249</v>
      </c>
      <c r="D46" s="6"/>
      <c r="E46" s="6"/>
      <c r="F46" s="6"/>
      <c r="G46" s="6"/>
      <c r="H46" s="6"/>
    </row>
    <row r="47" spans="1:8" ht="15.75" customHeight="1" x14ac:dyDescent="0.2">
      <c r="A47" s="1">
        <v>23</v>
      </c>
      <c r="B47" s="6">
        <v>0.42975206611570249</v>
      </c>
      <c r="C47" s="6">
        <v>0.57024793388429751</v>
      </c>
      <c r="D47" s="6"/>
      <c r="E47" s="6"/>
      <c r="F47" s="6"/>
      <c r="G47" s="6"/>
      <c r="H47" s="6"/>
    </row>
    <row r="48" spans="1:8" ht="15.75" customHeight="1" x14ac:dyDescent="0.2">
      <c r="A48" s="1">
        <v>24</v>
      </c>
      <c r="B48" s="6">
        <v>0.57499999999999996</v>
      </c>
      <c r="C48" s="6">
        <v>0.42500000000000004</v>
      </c>
      <c r="D48" s="6"/>
      <c r="E48" s="6"/>
      <c r="F48" s="6"/>
      <c r="G48" s="6"/>
      <c r="H48" s="6"/>
    </row>
    <row r="49" spans="1:8" ht="15.75" customHeight="1" x14ac:dyDescent="0.2">
      <c r="A49" s="1">
        <v>25</v>
      </c>
      <c r="B49" s="6">
        <v>0.42975206611570249</v>
      </c>
      <c r="C49" s="6">
        <v>-0.42975206611570249</v>
      </c>
      <c r="D49" s="6"/>
      <c r="E49" s="6"/>
      <c r="F49" s="6"/>
      <c r="G49" s="6"/>
      <c r="H49" s="6"/>
    </row>
    <row r="50" spans="1:8" ht="15.75" customHeight="1" x14ac:dyDescent="0.2">
      <c r="A50" s="1">
        <v>26</v>
      </c>
      <c r="B50" s="6">
        <v>0.57499999999999996</v>
      </c>
      <c r="C50" s="6">
        <v>-0.57499999999999996</v>
      </c>
      <c r="D50" s="6"/>
      <c r="E50" s="6"/>
      <c r="F50" s="6"/>
      <c r="G50" s="6"/>
      <c r="H50" s="6"/>
    </row>
    <row r="51" spans="1:8" ht="15.75" customHeight="1" x14ac:dyDescent="0.2">
      <c r="A51" s="1">
        <v>27</v>
      </c>
      <c r="B51" s="6">
        <v>0.42975206611570249</v>
      </c>
      <c r="C51" s="6">
        <v>-0.42975206611570249</v>
      </c>
      <c r="D51" s="6"/>
      <c r="E51" s="6"/>
      <c r="F51" s="6"/>
      <c r="G51" s="6"/>
      <c r="H51" s="6"/>
    </row>
    <row r="52" spans="1:8" ht="15.75" customHeight="1" x14ac:dyDescent="0.2">
      <c r="A52" s="1">
        <v>28</v>
      </c>
      <c r="B52" s="6">
        <v>0.42975206611570249</v>
      </c>
      <c r="C52" s="6">
        <v>0.57024793388429751</v>
      </c>
      <c r="D52" s="6"/>
      <c r="E52" s="6"/>
      <c r="F52" s="6"/>
      <c r="G52" s="6"/>
      <c r="H52" s="6"/>
    </row>
    <row r="53" spans="1:8" ht="15.75" customHeight="1" x14ac:dyDescent="0.2">
      <c r="A53" s="1">
        <v>29</v>
      </c>
      <c r="B53" s="6">
        <v>0.57499999999999996</v>
      </c>
      <c r="C53" s="6">
        <v>0.42500000000000004</v>
      </c>
      <c r="D53" s="6"/>
      <c r="E53" s="6"/>
      <c r="F53" s="6"/>
      <c r="G53" s="6"/>
      <c r="H53" s="6"/>
    </row>
    <row r="54" spans="1:8" ht="15.75" customHeight="1" x14ac:dyDescent="0.2">
      <c r="A54" s="1">
        <v>30</v>
      </c>
      <c r="B54" s="6">
        <v>0.57499999999999996</v>
      </c>
      <c r="C54" s="6">
        <v>0.42500000000000004</v>
      </c>
      <c r="D54" s="6"/>
      <c r="E54" s="6"/>
      <c r="F54" s="6"/>
      <c r="G54" s="6"/>
      <c r="H54" s="6"/>
    </row>
    <row r="55" spans="1:8" ht="15.75" customHeight="1" x14ac:dyDescent="0.2">
      <c r="A55" s="1">
        <v>31</v>
      </c>
      <c r="B55" s="6">
        <v>0.57499999999999996</v>
      </c>
      <c r="C55" s="6">
        <v>0.42500000000000004</v>
      </c>
      <c r="D55" s="6"/>
      <c r="E55" s="6"/>
      <c r="F55" s="6"/>
      <c r="G55" s="6"/>
      <c r="H55" s="6"/>
    </row>
    <row r="56" spans="1:8" ht="15.75" customHeight="1" x14ac:dyDescent="0.2">
      <c r="A56" s="1">
        <v>32</v>
      </c>
      <c r="B56" s="6">
        <v>0.42975206611570249</v>
      </c>
      <c r="C56" s="6">
        <v>-0.42975206611570249</v>
      </c>
      <c r="D56" s="6"/>
      <c r="E56" s="6"/>
      <c r="F56" s="6"/>
      <c r="G56" s="6"/>
      <c r="H56" s="6"/>
    </row>
    <row r="57" spans="1:8" ht="15.75" customHeight="1" x14ac:dyDescent="0.2">
      <c r="A57" s="1">
        <v>33</v>
      </c>
      <c r="B57" s="6">
        <v>0.57499999999999996</v>
      </c>
      <c r="C57" s="6">
        <v>0.42500000000000004</v>
      </c>
      <c r="D57" s="6"/>
      <c r="E57" s="6"/>
      <c r="F57" s="6"/>
      <c r="G57" s="6"/>
      <c r="H57" s="6"/>
    </row>
    <row r="58" spans="1:8" ht="15.75" customHeight="1" x14ac:dyDescent="0.2">
      <c r="A58" s="1">
        <v>34</v>
      </c>
      <c r="B58" s="6">
        <v>0.42975206611570249</v>
      </c>
      <c r="C58" s="6">
        <v>-0.42975206611570249</v>
      </c>
      <c r="D58" s="6"/>
      <c r="E58" s="6"/>
      <c r="F58" s="6"/>
      <c r="G58" s="6"/>
      <c r="H58" s="6"/>
    </row>
    <row r="59" spans="1:8" ht="15.75" customHeight="1" x14ac:dyDescent="0.2">
      <c r="A59" s="1">
        <v>35</v>
      </c>
      <c r="B59" s="6">
        <v>0.57499999999999996</v>
      </c>
      <c r="C59" s="6">
        <v>0.42500000000000004</v>
      </c>
      <c r="D59" s="6"/>
      <c r="E59" s="6"/>
      <c r="F59" s="6"/>
      <c r="G59" s="6"/>
      <c r="H59" s="6"/>
    </row>
    <row r="60" spans="1:8" ht="15.75" customHeight="1" x14ac:dyDescent="0.2">
      <c r="A60" s="1">
        <v>36</v>
      </c>
      <c r="B60" s="6">
        <v>0.42975206611570249</v>
      </c>
      <c r="C60" s="6">
        <v>0.57024793388429751</v>
      </c>
      <c r="D60" s="6"/>
      <c r="E60" s="6"/>
      <c r="F60" s="6"/>
      <c r="G60" s="6"/>
      <c r="H60" s="6"/>
    </row>
    <row r="61" spans="1:8" ht="15.75" customHeight="1" x14ac:dyDescent="0.2">
      <c r="A61" s="1">
        <v>37</v>
      </c>
      <c r="B61" s="6">
        <v>0.42975206611570249</v>
      </c>
      <c r="C61" s="6">
        <v>0.57024793388429751</v>
      </c>
      <c r="D61" s="6"/>
      <c r="E61" s="6"/>
      <c r="F61" s="6"/>
      <c r="G61" s="6"/>
      <c r="H61" s="6"/>
    </row>
    <row r="62" spans="1:8" ht="15.75" customHeight="1" x14ac:dyDescent="0.2">
      <c r="A62" s="1">
        <v>38</v>
      </c>
      <c r="B62" s="6">
        <v>0.57499999999999996</v>
      </c>
      <c r="C62" s="6">
        <v>0.42500000000000004</v>
      </c>
      <c r="D62" s="6"/>
      <c r="E62" s="6"/>
      <c r="F62" s="6"/>
      <c r="G62" s="6"/>
      <c r="H62" s="6"/>
    </row>
    <row r="63" spans="1:8" ht="15.75" customHeight="1" x14ac:dyDescent="0.2">
      <c r="A63" s="1">
        <v>39</v>
      </c>
      <c r="B63" s="6">
        <v>0.42975206611570249</v>
      </c>
      <c r="C63" s="6">
        <v>-0.42975206611570249</v>
      </c>
      <c r="D63" s="6"/>
      <c r="E63" s="6"/>
      <c r="F63" s="6"/>
      <c r="G63" s="6"/>
      <c r="H63" s="6"/>
    </row>
    <row r="64" spans="1:8" ht="15.75" customHeight="1" x14ac:dyDescent="0.2">
      <c r="A64" s="1">
        <v>40</v>
      </c>
      <c r="B64" s="6">
        <v>0.42975206611570249</v>
      </c>
      <c r="C64" s="6">
        <v>-0.42975206611570249</v>
      </c>
      <c r="D64" s="6"/>
      <c r="E64" s="6"/>
      <c r="F64" s="6"/>
      <c r="G64" s="6"/>
      <c r="H64" s="6"/>
    </row>
    <row r="65" spans="1:8" ht="15.75" customHeight="1" x14ac:dyDescent="0.2">
      <c r="A65" s="1">
        <v>41</v>
      </c>
      <c r="B65" s="6">
        <v>0.57499999999999996</v>
      </c>
      <c r="C65" s="6">
        <v>-0.57499999999999996</v>
      </c>
      <c r="D65" s="6"/>
      <c r="E65" s="6"/>
      <c r="F65" s="6"/>
      <c r="G65" s="6"/>
      <c r="H65" s="6"/>
    </row>
    <row r="66" spans="1:8" ht="15.75" customHeight="1" x14ac:dyDescent="0.2">
      <c r="A66" s="1">
        <v>42</v>
      </c>
      <c r="B66" s="6">
        <v>0.42975206611570249</v>
      </c>
      <c r="C66" s="6">
        <v>-0.42975206611570249</v>
      </c>
      <c r="D66" s="6"/>
      <c r="E66" s="6"/>
      <c r="F66" s="6"/>
      <c r="G66" s="6"/>
      <c r="H66" s="6"/>
    </row>
    <row r="67" spans="1:8" ht="15.75" customHeight="1" x14ac:dyDescent="0.2">
      <c r="A67" s="1">
        <v>43</v>
      </c>
      <c r="B67" s="6">
        <v>0.57499999999999996</v>
      </c>
      <c r="C67" s="6">
        <v>-0.57499999999999996</v>
      </c>
      <c r="D67" s="6"/>
      <c r="E67" s="6"/>
      <c r="F67" s="6"/>
      <c r="G67" s="6"/>
      <c r="H67" s="6"/>
    </row>
    <row r="68" spans="1:8" ht="15.75" customHeight="1" x14ac:dyDescent="0.2">
      <c r="A68" s="1">
        <v>44</v>
      </c>
      <c r="B68" s="6">
        <v>0.42975206611570249</v>
      </c>
      <c r="C68" s="6">
        <v>-0.42975206611570249</v>
      </c>
      <c r="D68" s="6"/>
      <c r="E68" s="6"/>
      <c r="F68" s="6"/>
      <c r="G68" s="6"/>
      <c r="H68" s="6"/>
    </row>
    <row r="69" spans="1:8" ht="15.75" customHeight="1" x14ac:dyDescent="0.2">
      <c r="A69" s="1">
        <v>45</v>
      </c>
      <c r="B69" s="6">
        <v>0.57499999999999996</v>
      </c>
      <c r="C69" s="6">
        <v>0.42500000000000004</v>
      </c>
      <c r="D69" s="6"/>
      <c r="E69" s="6"/>
      <c r="F69" s="6"/>
      <c r="G69" s="6"/>
      <c r="H69" s="6"/>
    </row>
    <row r="70" spans="1:8" ht="15.75" customHeight="1" x14ac:dyDescent="0.2">
      <c r="A70" s="1">
        <v>46</v>
      </c>
      <c r="B70" s="6">
        <v>0.42975206611570249</v>
      </c>
      <c r="C70" s="6">
        <v>-0.42975206611570249</v>
      </c>
      <c r="D70" s="6"/>
      <c r="E70" s="6"/>
      <c r="F70" s="6"/>
      <c r="G70" s="6"/>
      <c r="H70" s="6"/>
    </row>
    <row r="71" spans="1:8" ht="15.75" customHeight="1" x14ac:dyDescent="0.2">
      <c r="A71" s="1">
        <v>47</v>
      </c>
      <c r="B71" s="6">
        <v>0.42975206611570249</v>
      </c>
      <c r="C71" s="6">
        <v>-0.42975206611570249</v>
      </c>
      <c r="D71" s="6"/>
      <c r="E71" s="6"/>
      <c r="F71" s="6"/>
      <c r="G71" s="6"/>
      <c r="H71" s="6"/>
    </row>
    <row r="72" spans="1:8" ht="15.75" customHeight="1" x14ac:dyDescent="0.2">
      <c r="A72" s="1">
        <v>48</v>
      </c>
      <c r="B72" s="6">
        <v>0.57499999999999996</v>
      </c>
      <c r="C72" s="6">
        <v>-0.57499999999999996</v>
      </c>
      <c r="D72" s="6"/>
      <c r="E72" s="6"/>
      <c r="F72" s="6"/>
      <c r="G72" s="6"/>
      <c r="H72" s="6"/>
    </row>
    <row r="73" spans="1:8" ht="15.75" customHeight="1" x14ac:dyDescent="0.2">
      <c r="A73" s="1">
        <v>49</v>
      </c>
      <c r="B73" s="6">
        <v>0.42975206611570249</v>
      </c>
      <c r="C73" s="6">
        <v>-0.42975206611570249</v>
      </c>
      <c r="D73" s="6"/>
      <c r="E73" s="6"/>
      <c r="F73" s="6"/>
      <c r="G73" s="6"/>
      <c r="H73" s="6"/>
    </row>
    <row r="74" spans="1:8" ht="15.75" customHeight="1" x14ac:dyDescent="0.2">
      <c r="A74" s="1">
        <v>50</v>
      </c>
      <c r="B74" s="6">
        <v>0.57499999999999996</v>
      </c>
      <c r="C74" s="6">
        <v>-0.57499999999999996</v>
      </c>
      <c r="D74" s="6"/>
      <c r="E74" s="6"/>
      <c r="F74" s="6"/>
      <c r="G74" s="6"/>
      <c r="H74" s="6"/>
    </row>
    <row r="75" spans="1:8" ht="15.75" customHeight="1" x14ac:dyDescent="0.2">
      <c r="A75" s="1">
        <v>51</v>
      </c>
      <c r="B75" s="6">
        <v>0.42975206611570249</v>
      </c>
      <c r="C75" s="6">
        <v>0.57024793388429751</v>
      </c>
      <c r="D75" s="6"/>
      <c r="E75" s="6"/>
      <c r="F75" s="6"/>
      <c r="G75" s="6"/>
      <c r="H75" s="6"/>
    </row>
    <row r="76" spans="1:8" ht="15.75" customHeight="1" x14ac:dyDescent="0.2">
      <c r="A76" s="1">
        <v>52</v>
      </c>
      <c r="B76" s="6">
        <v>0.57499999999999996</v>
      </c>
      <c r="C76" s="6">
        <v>-0.57499999999999996</v>
      </c>
      <c r="D76" s="6"/>
      <c r="E76" s="6"/>
      <c r="F76" s="6"/>
      <c r="G76" s="6"/>
      <c r="H76" s="6"/>
    </row>
    <row r="77" spans="1:8" ht="15.75" customHeight="1" x14ac:dyDescent="0.2">
      <c r="A77" s="1">
        <v>53</v>
      </c>
      <c r="B77" s="6">
        <v>0.42975206611570249</v>
      </c>
      <c r="C77" s="6">
        <v>-0.42975206611570249</v>
      </c>
      <c r="D77" s="6"/>
      <c r="E77" s="6"/>
      <c r="F77" s="6"/>
      <c r="G77" s="6"/>
      <c r="H77" s="6"/>
    </row>
    <row r="78" spans="1:8" ht="15.75" customHeight="1" x14ac:dyDescent="0.2">
      <c r="A78" s="1">
        <v>54</v>
      </c>
      <c r="B78" s="6">
        <v>0.57499999999999996</v>
      </c>
      <c r="C78" s="6">
        <v>-0.57499999999999996</v>
      </c>
      <c r="D78" s="6"/>
      <c r="E78" s="6"/>
      <c r="F78" s="6"/>
      <c r="G78" s="6"/>
      <c r="H78" s="6"/>
    </row>
    <row r="79" spans="1:8" ht="15.75" customHeight="1" x14ac:dyDescent="0.2">
      <c r="A79" s="1">
        <v>55</v>
      </c>
      <c r="B79" s="6">
        <v>0.42975206611570249</v>
      </c>
      <c r="C79" s="6">
        <v>0.57024793388429751</v>
      </c>
      <c r="D79" s="6"/>
      <c r="E79" s="6"/>
      <c r="F79" s="6"/>
      <c r="G79" s="6"/>
      <c r="H79" s="6"/>
    </row>
    <row r="80" spans="1:8" ht="15.75" customHeight="1" x14ac:dyDescent="0.2">
      <c r="A80" s="1">
        <v>56</v>
      </c>
      <c r="B80" s="6">
        <v>0.57499999999999996</v>
      </c>
      <c r="C80" s="6">
        <v>-0.57499999999999996</v>
      </c>
      <c r="D80" s="6"/>
      <c r="E80" s="6"/>
      <c r="F80" s="6"/>
      <c r="G80" s="6"/>
      <c r="H80" s="6"/>
    </row>
    <row r="81" spans="1:8" ht="15.75" customHeight="1" x14ac:dyDescent="0.2">
      <c r="A81" s="1">
        <v>57</v>
      </c>
      <c r="B81" s="6">
        <v>0.42975206611570249</v>
      </c>
      <c r="C81" s="6">
        <v>0.57024793388429751</v>
      </c>
      <c r="D81" s="6"/>
      <c r="E81" s="6"/>
      <c r="F81" s="6"/>
      <c r="G81" s="6"/>
      <c r="H81" s="6"/>
    </row>
    <row r="82" spans="1:8" ht="15.75" customHeight="1" x14ac:dyDescent="0.2">
      <c r="A82" s="1">
        <v>58</v>
      </c>
      <c r="B82" s="6">
        <v>0.57499999999999996</v>
      </c>
      <c r="C82" s="6">
        <v>-0.57499999999999996</v>
      </c>
      <c r="D82" s="6"/>
      <c r="E82" s="6"/>
      <c r="F82" s="6"/>
      <c r="G82" s="6"/>
      <c r="H82" s="6"/>
    </row>
    <row r="83" spans="1:8" ht="15.75" customHeight="1" x14ac:dyDescent="0.2">
      <c r="A83" s="1">
        <v>59</v>
      </c>
      <c r="B83" s="6">
        <v>0.42975206611570249</v>
      </c>
      <c r="C83" s="6">
        <v>-0.42975206611570249</v>
      </c>
      <c r="D83" s="6"/>
      <c r="E83" s="6"/>
      <c r="F83" s="6"/>
      <c r="G83" s="6"/>
      <c r="H83" s="6"/>
    </row>
    <row r="84" spans="1:8" ht="15.75" customHeight="1" x14ac:dyDescent="0.2">
      <c r="A84" s="1">
        <v>60</v>
      </c>
      <c r="B84" s="6">
        <v>0.42975206611570249</v>
      </c>
      <c r="C84" s="6">
        <v>-0.42975206611570249</v>
      </c>
      <c r="D84" s="6"/>
      <c r="E84" s="6"/>
      <c r="F84" s="6"/>
      <c r="G84" s="6"/>
      <c r="H84" s="6"/>
    </row>
    <row r="85" spans="1:8" ht="15.75" customHeight="1" x14ac:dyDescent="0.2">
      <c r="A85" s="1">
        <v>61</v>
      </c>
      <c r="B85" s="6">
        <v>0.57499999999999996</v>
      </c>
      <c r="C85" s="6">
        <v>-0.57499999999999996</v>
      </c>
      <c r="D85" s="6"/>
      <c r="E85" s="6"/>
      <c r="F85" s="6"/>
      <c r="G85" s="6"/>
      <c r="H85" s="6"/>
    </row>
    <row r="86" spans="1:8" ht="15.75" customHeight="1" x14ac:dyDescent="0.2">
      <c r="A86" s="1">
        <v>62</v>
      </c>
      <c r="B86" s="6">
        <v>0.42975206611570249</v>
      </c>
      <c r="C86" s="6">
        <v>-0.42975206611570249</v>
      </c>
      <c r="D86" s="6"/>
      <c r="E86" s="6"/>
      <c r="F86" s="6"/>
      <c r="G86" s="6"/>
      <c r="H86" s="6"/>
    </row>
    <row r="87" spans="1:8" ht="15.75" customHeight="1" x14ac:dyDescent="0.2">
      <c r="A87" s="1">
        <v>63</v>
      </c>
      <c r="B87" s="6">
        <v>0.57499999999999996</v>
      </c>
      <c r="C87" s="6">
        <v>0.42500000000000004</v>
      </c>
      <c r="D87" s="6"/>
      <c r="E87" s="6"/>
      <c r="F87" s="6"/>
      <c r="G87" s="6"/>
      <c r="H87" s="6"/>
    </row>
    <row r="88" spans="1:8" ht="15.75" customHeight="1" x14ac:dyDescent="0.2">
      <c r="A88" s="1">
        <v>64</v>
      </c>
      <c r="B88" s="6">
        <v>0.42975206611570249</v>
      </c>
      <c r="C88" s="6">
        <v>-0.42975206611570249</v>
      </c>
      <c r="D88" s="6"/>
      <c r="E88" s="6"/>
      <c r="F88" s="6"/>
      <c r="G88" s="6"/>
      <c r="H88" s="6"/>
    </row>
    <row r="89" spans="1:8" ht="15.75" customHeight="1" x14ac:dyDescent="0.2">
      <c r="A89" s="1">
        <v>65</v>
      </c>
      <c r="B89" s="6">
        <v>0.57499999999999996</v>
      </c>
      <c r="C89" s="6">
        <v>-0.57499999999999996</v>
      </c>
      <c r="D89" s="6"/>
      <c r="E89" s="6"/>
      <c r="F89" s="6"/>
      <c r="G89" s="6"/>
      <c r="H89" s="6"/>
    </row>
    <row r="90" spans="1:8" ht="15.75" customHeight="1" x14ac:dyDescent="0.2">
      <c r="A90" s="1">
        <v>66</v>
      </c>
      <c r="B90" s="6">
        <v>0.42975206611570249</v>
      </c>
      <c r="C90" s="6">
        <v>0.57024793388429751</v>
      </c>
      <c r="D90" s="6"/>
      <c r="E90" s="6"/>
      <c r="F90" s="6"/>
      <c r="G90" s="6"/>
      <c r="H90" s="6"/>
    </row>
    <row r="91" spans="1:8" ht="15.75" customHeight="1" x14ac:dyDescent="0.2">
      <c r="A91" s="1">
        <v>67</v>
      </c>
      <c r="B91" s="6">
        <v>0.57499999999999996</v>
      </c>
      <c r="C91" s="6">
        <v>0.42500000000000004</v>
      </c>
      <c r="D91" s="6"/>
      <c r="E91" s="6"/>
      <c r="F91" s="6"/>
      <c r="G91" s="6"/>
      <c r="H91" s="6"/>
    </row>
    <row r="92" spans="1:8" ht="15.75" customHeight="1" x14ac:dyDescent="0.2">
      <c r="A92" s="1">
        <v>68</v>
      </c>
      <c r="B92" s="6">
        <v>0.42975206611570249</v>
      </c>
      <c r="C92" s="6">
        <v>0.57024793388429751</v>
      </c>
      <c r="D92" s="6"/>
      <c r="E92" s="6"/>
      <c r="F92" s="6"/>
      <c r="G92" s="6"/>
      <c r="H92" s="6"/>
    </row>
    <row r="93" spans="1:8" ht="15.75" customHeight="1" x14ac:dyDescent="0.2">
      <c r="A93" s="1">
        <v>69</v>
      </c>
      <c r="B93" s="6">
        <v>0.57499999999999996</v>
      </c>
      <c r="C93" s="6">
        <v>0.42500000000000004</v>
      </c>
      <c r="D93" s="6"/>
      <c r="E93" s="6"/>
      <c r="F93" s="6"/>
      <c r="G93" s="6"/>
      <c r="H93" s="6"/>
    </row>
    <row r="94" spans="1:8" ht="15.75" customHeight="1" x14ac:dyDescent="0.2">
      <c r="A94" s="1">
        <v>70</v>
      </c>
      <c r="B94" s="6">
        <v>0.42975206611570249</v>
      </c>
      <c r="C94" s="6">
        <v>-0.42975206611570249</v>
      </c>
      <c r="D94" s="6"/>
      <c r="E94" s="6"/>
      <c r="F94" s="6"/>
      <c r="G94" s="6"/>
      <c r="H94" s="6"/>
    </row>
    <row r="95" spans="1:8" ht="15.75" customHeight="1" x14ac:dyDescent="0.2">
      <c r="A95" s="1">
        <v>71</v>
      </c>
      <c r="B95" s="6">
        <v>0.57499999999999996</v>
      </c>
      <c r="C95" s="6">
        <v>0.42500000000000004</v>
      </c>
      <c r="D95" s="6"/>
      <c r="E95" s="6"/>
      <c r="F95" s="6"/>
      <c r="G95" s="6"/>
      <c r="H95" s="6"/>
    </row>
    <row r="96" spans="1:8" ht="15.75" customHeight="1" x14ac:dyDescent="0.2">
      <c r="A96" s="1">
        <v>72</v>
      </c>
      <c r="B96" s="6">
        <v>0.42975206611570249</v>
      </c>
      <c r="C96" s="6">
        <v>0.57024793388429751</v>
      </c>
      <c r="D96" s="6"/>
      <c r="E96" s="6"/>
      <c r="F96" s="6"/>
      <c r="G96" s="6"/>
      <c r="H96" s="6"/>
    </row>
    <row r="97" spans="1:8" ht="15.75" customHeight="1" x14ac:dyDescent="0.2">
      <c r="A97" s="1">
        <v>73</v>
      </c>
      <c r="B97" s="6">
        <v>0.57499999999999996</v>
      </c>
      <c r="C97" s="6">
        <v>0.42500000000000004</v>
      </c>
      <c r="D97" s="6"/>
      <c r="E97" s="6"/>
      <c r="F97" s="6"/>
      <c r="G97" s="6"/>
      <c r="H97" s="6"/>
    </row>
    <row r="98" spans="1:8" ht="15.75" customHeight="1" x14ac:dyDescent="0.2">
      <c r="A98" s="1">
        <v>74</v>
      </c>
      <c r="B98" s="6">
        <v>0.57499999999999996</v>
      </c>
      <c r="C98" s="6">
        <v>-0.57499999999999996</v>
      </c>
      <c r="D98" s="6"/>
      <c r="E98" s="6"/>
      <c r="F98" s="6"/>
      <c r="G98" s="6"/>
      <c r="H98" s="6"/>
    </row>
    <row r="99" spans="1:8" ht="15.75" customHeight="1" x14ac:dyDescent="0.2">
      <c r="A99" s="1">
        <v>75</v>
      </c>
      <c r="B99" s="6">
        <v>0.42975206611570249</v>
      </c>
      <c r="C99" s="6">
        <v>0.57024793388429751</v>
      </c>
      <c r="D99" s="6"/>
      <c r="E99" s="6"/>
      <c r="F99" s="6"/>
      <c r="G99" s="6"/>
      <c r="H99" s="6"/>
    </row>
    <row r="100" spans="1:8" ht="15.75" customHeight="1" x14ac:dyDescent="0.2">
      <c r="A100" s="1">
        <v>76</v>
      </c>
      <c r="B100" s="6">
        <v>0.57499999999999996</v>
      </c>
      <c r="C100" s="6">
        <v>0.42500000000000004</v>
      </c>
      <c r="D100" s="6"/>
      <c r="E100" s="6"/>
      <c r="F100" s="6"/>
      <c r="G100" s="6"/>
      <c r="H100" s="6"/>
    </row>
    <row r="101" spans="1:8" ht="15.75" customHeight="1" x14ac:dyDescent="0.2">
      <c r="A101" s="1">
        <v>77</v>
      </c>
      <c r="B101" s="6">
        <v>0.57499999999999996</v>
      </c>
      <c r="C101" s="6">
        <v>0.42500000000000004</v>
      </c>
      <c r="D101" s="6"/>
      <c r="E101" s="6"/>
      <c r="F101" s="6"/>
      <c r="G101" s="6"/>
      <c r="H101" s="6"/>
    </row>
    <row r="102" spans="1:8" ht="15.75" customHeight="1" x14ac:dyDescent="0.2">
      <c r="A102" s="1">
        <v>78</v>
      </c>
      <c r="B102" s="6">
        <v>0.42975206611570249</v>
      </c>
      <c r="C102" s="6">
        <v>-0.42975206611570249</v>
      </c>
      <c r="D102" s="6"/>
      <c r="E102" s="6"/>
      <c r="F102" s="6"/>
      <c r="G102" s="6"/>
      <c r="H102" s="6"/>
    </row>
    <row r="103" spans="1:8" ht="15.75" customHeight="1" x14ac:dyDescent="0.2">
      <c r="A103" s="1">
        <v>79</v>
      </c>
      <c r="B103" s="6">
        <v>0.57499999999999996</v>
      </c>
      <c r="C103" s="6">
        <v>0.42500000000000004</v>
      </c>
      <c r="D103" s="6"/>
      <c r="E103" s="6"/>
      <c r="F103" s="6"/>
      <c r="G103" s="6"/>
      <c r="H103" s="6"/>
    </row>
    <row r="104" spans="1:8" ht="15.75" customHeight="1" x14ac:dyDescent="0.2">
      <c r="A104" s="1">
        <v>80</v>
      </c>
      <c r="B104" s="6">
        <v>0.42975206611570249</v>
      </c>
      <c r="C104" s="6">
        <v>-0.42975206611570249</v>
      </c>
      <c r="D104" s="6"/>
      <c r="E104" s="6"/>
      <c r="F104" s="6"/>
      <c r="G104" s="6"/>
      <c r="H104" s="6"/>
    </row>
    <row r="105" spans="1:8" ht="15.75" customHeight="1" x14ac:dyDescent="0.2">
      <c r="A105" s="1">
        <v>81</v>
      </c>
      <c r="B105" s="6">
        <v>0.57499999999999996</v>
      </c>
      <c r="C105" s="6">
        <v>0.42500000000000004</v>
      </c>
      <c r="D105" s="6"/>
      <c r="E105" s="6"/>
      <c r="F105" s="6"/>
      <c r="G105" s="6"/>
      <c r="H105" s="6"/>
    </row>
    <row r="106" spans="1:8" ht="15.75" customHeight="1" x14ac:dyDescent="0.2">
      <c r="A106" s="1">
        <v>82</v>
      </c>
      <c r="B106" s="6">
        <v>0.42975206611570249</v>
      </c>
      <c r="C106" s="6">
        <v>-0.42975206611570249</v>
      </c>
      <c r="D106" s="6"/>
      <c r="E106" s="6"/>
      <c r="F106" s="6"/>
      <c r="G106" s="6"/>
      <c r="H106" s="6"/>
    </row>
    <row r="107" spans="1:8" ht="15.75" customHeight="1" x14ac:dyDescent="0.2">
      <c r="A107" s="1">
        <v>83</v>
      </c>
      <c r="B107" s="6">
        <v>0.42975206611570249</v>
      </c>
      <c r="C107" s="6">
        <v>0.57024793388429751</v>
      </c>
      <c r="D107" s="6"/>
      <c r="E107" s="6"/>
      <c r="F107" s="6"/>
      <c r="G107" s="6"/>
      <c r="H107" s="6"/>
    </row>
    <row r="108" spans="1:8" ht="15.75" customHeight="1" x14ac:dyDescent="0.2">
      <c r="A108" s="1">
        <v>84</v>
      </c>
      <c r="B108" s="6">
        <v>0.57499999999999996</v>
      </c>
      <c r="C108" s="6">
        <v>-0.57499999999999996</v>
      </c>
      <c r="D108" s="6"/>
      <c r="E108" s="6"/>
      <c r="F108" s="6"/>
      <c r="G108" s="6"/>
      <c r="H108" s="6"/>
    </row>
    <row r="109" spans="1:8" ht="15.75" customHeight="1" x14ac:dyDescent="0.2">
      <c r="A109" s="1">
        <v>85</v>
      </c>
      <c r="B109" s="6">
        <v>0.42975206611570249</v>
      </c>
      <c r="C109" s="6">
        <v>-0.42975206611570249</v>
      </c>
      <c r="D109" s="6"/>
      <c r="E109" s="6"/>
      <c r="F109" s="6"/>
      <c r="G109" s="6"/>
      <c r="H109" s="6"/>
    </row>
    <row r="110" spans="1:8" ht="15.75" customHeight="1" x14ac:dyDescent="0.2">
      <c r="A110" s="1">
        <v>86</v>
      </c>
      <c r="B110" s="6">
        <v>0.57499999999999996</v>
      </c>
      <c r="C110" s="6">
        <v>0.42500000000000004</v>
      </c>
      <c r="D110" s="6"/>
      <c r="E110" s="6"/>
      <c r="F110" s="6"/>
      <c r="G110" s="6"/>
      <c r="H110" s="6"/>
    </row>
    <row r="111" spans="1:8" ht="15.75" customHeight="1" x14ac:dyDescent="0.2">
      <c r="A111" s="1">
        <v>87</v>
      </c>
      <c r="B111" s="6">
        <v>0.42975206611570249</v>
      </c>
      <c r="C111" s="6">
        <v>-0.42975206611570249</v>
      </c>
      <c r="D111" s="6"/>
      <c r="E111" s="6"/>
      <c r="F111" s="6"/>
      <c r="G111" s="6"/>
      <c r="H111" s="6"/>
    </row>
    <row r="112" spans="1:8" ht="15.75" customHeight="1" x14ac:dyDescent="0.2">
      <c r="A112" s="1">
        <v>88</v>
      </c>
      <c r="B112" s="6">
        <v>0.57499999999999996</v>
      </c>
      <c r="C112" s="6">
        <v>-0.57499999999999996</v>
      </c>
      <c r="D112" s="6"/>
      <c r="E112" s="6"/>
      <c r="F112" s="6"/>
      <c r="G112" s="6"/>
      <c r="H112" s="6"/>
    </row>
    <row r="113" spans="1:8" ht="15.75" customHeight="1" x14ac:dyDescent="0.2">
      <c r="A113" s="1">
        <v>89</v>
      </c>
      <c r="B113" s="6">
        <v>0.42975206611570249</v>
      </c>
      <c r="C113" s="6">
        <v>-0.42975206611570249</v>
      </c>
      <c r="D113" s="6"/>
      <c r="E113" s="6"/>
      <c r="F113" s="6"/>
      <c r="G113" s="6"/>
      <c r="H113" s="6"/>
    </row>
    <row r="114" spans="1:8" ht="15.75" customHeight="1" x14ac:dyDescent="0.2">
      <c r="A114" s="1">
        <v>90</v>
      </c>
      <c r="B114" s="6">
        <v>0.57499999999999996</v>
      </c>
      <c r="C114" s="6">
        <v>0.42500000000000004</v>
      </c>
      <c r="D114" s="6"/>
      <c r="E114" s="6"/>
      <c r="F114" s="6"/>
      <c r="G114" s="6"/>
      <c r="H114" s="6"/>
    </row>
    <row r="115" spans="1:8" ht="15.75" customHeight="1" x14ac:dyDescent="0.2">
      <c r="A115" s="1">
        <v>91</v>
      </c>
      <c r="B115" s="6">
        <v>0.42975206611570249</v>
      </c>
      <c r="C115" s="6">
        <v>0.57024793388429751</v>
      </c>
      <c r="D115" s="6"/>
      <c r="E115" s="6"/>
      <c r="F115" s="6"/>
      <c r="G115" s="6"/>
      <c r="H115" s="6"/>
    </row>
    <row r="116" spans="1:8" ht="15.75" customHeight="1" x14ac:dyDescent="0.2">
      <c r="A116" s="1">
        <v>92</v>
      </c>
      <c r="B116" s="6">
        <v>0.57499999999999996</v>
      </c>
      <c r="C116" s="6">
        <v>-0.57499999999999996</v>
      </c>
      <c r="D116" s="6"/>
      <c r="E116" s="6"/>
      <c r="F116" s="6"/>
      <c r="G116" s="6"/>
      <c r="H116" s="6"/>
    </row>
    <row r="117" spans="1:8" ht="15.75" customHeight="1" x14ac:dyDescent="0.2">
      <c r="A117" s="1">
        <v>93</v>
      </c>
      <c r="B117" s="6">
        <v>0.57499999999999996</v>
      </c>
      <c r="C117" s="6">
        <v>-0.57499999999999996</v>
      </c>
      <c r="D117" s="6"/>
      <c r="E117" s="6"/>
      <c r="F117" s="6"/>
      <c r="G117" s="6"/>
      <c r="H117" s="6"/>
    </row>
    <row r="118" spans="1:8" ht="15.75" customHeight="1" x14ac:dyDescent="0.2">
      <c r="A118" s="1">
        <v>94</v>
      </c>
      <c r="B118" s="6">
        <v>0.42975206611570249</v>
      </c>
      <c r="C118" s="6">
        <v>-0.42975206611570249</v>
      </c>
      <c r="D118" s="6"/>
      <c r="E118" s="6"/>
      <c r="F118" s="6"/>
      <c r="G118" s="6"/>
      <c r="H118" s="6"/>
    </row>
    <row r="119" spans="1:8" ht="15.75" customHeight="1" x14ac:dyDescent="0.2">
      <c r="A119" s="1">
        <v>95</v>
      </c>
      <c r="B119" s="6">
        <v>0.57499999999999996</v>
      </c>
      <c r="C119" s="6">
        <v>-0.57499999999999996</v>
      </c>
      <c r="D119" s="6"/>
      <c r="E119" s="6"/>
      <c r="F119" s="6"/>
      <c r="G119" s="6"/>
      <c r="H119" s="6"/>
    </row>
    <row r="120" spans="1:8" ht="15.75" customHeight="1" x14ac:dyDescent="0.2">
      <c r="A120" s="1">
        <v>96</v>
      </c>
      <c r="B120" s="6">
        <v>0.57499999999999996</v>
      </c>
      <c r="C120" s="6">
        <v>0.42500000000000004</v>
      </c>
      <c r="D120" s="6"/>
      <c r="E120" s="6"/>
      <c r="F120" s="6"/>
      <c r="G120" s="6"/>
      <c r="H120" s="6"/>
    </row>
    <row r="121" spans="1:8" ht="15.75" customHeight="1" x14ac:dyDescent="0.2">
      <c r="A121" s="1">
        <v>97</v>
      </c>
      <c r="B121" s="6">
        <v>0.42975206611570249</v>
      </c>
      <c r="C121" s="6">
        <v>-0.42975206611570249</v>
      </c>
      <c r="D121" s="6"/>
      <c r="E121" s="6"/>
      <c r="F121" s="6"/>
      <c r="G121" s="6"/>
      <c r="H121" s="6"/>
    </row>
    <row r="122" spans="1:8" ht="15.75" customHeight="1" x14ac:dyDescent="0.2">
      <c r="A122" s="1">
        <v>98</v>
      </c>
      <c r="B122" s="6">
        <v>0.57499999999999996</v>
      </c>
      <c r="C122" s="6">
        <v>-0.57499999999999996</v>
      </c>
      <c r="D122" s="6"/>
      <c r="E122" s="6"/>
      <c r="F122" s="6"/>
      <c r="G122" s="6"/>
      <c r="H122" s="6"/>
    </row>
    <row r="123" spans="1:8" ht="15.75" customHeight="1" x14ac:dyDescent="0.2">
      <c r="A123" s="1">
        <v>99</v>
      </c>
      <c r="B123" s="6">
        <v>0.42975206611570249</v>
      </c>
      <c r="C123" s="6">
        <v>0.57024793388429751</v>
      </c>
      <c r="D123" s="6"/>
      <c r="E123" s="6"/>
      <c r="F123" s="6"/>
      <c r="G123" s="6"/>
      <c r="H123" s="6"/>
    </row>
    <row r="124" spans="1:8" ht="15.75" customHeight="1" x14ac:dyDescent="0.2">
      <c r="A124" s="1">
        <v>100</v>
      </c>
      <c r="B124" s="6">
        <v>0.57499999999999996</v>
      </c>
      <c r="C124" s="6">
        <v>-0.57499999999999996</v>
      </c>
      <c r="D124" s="6"/>
      <c r="E124" s="6"/>
      <c r="F124" s="6"/>
      <c r="G124" s="6"/>
      <c r="H124" s="6"/>
    </row>
    <row r="125" spans="1:8" ht="15.75" customHeight="1" x14ac:dyDescent="0.2">
      <c r="A125" s="1">
        <v>101</v>
      </c>
      <c r="B125" s="6">
        <v>0.42975206611570249</v>
      </c>
      <c r="C125" s="6">
        <v>-0.42975206611570249</v>
      </c>
      <c r="D125" s="6"/>
      <c r="E125" s="6"/>
      <c r="F125" s="6"/>
      <c r="G125" s="6"/>
      <c r="H125" s="6"/>
    </row>
    <row r="126" spans="1:8" ht="15.75" customHeight="1" x14ac:dyDescent="0.2">
      <c r="A126" s="1">
        <v>102</v>
      </c>
      <c r="B126" s="6">
        <v>0.57499999999999996</v>
      </c>
      <c r="C126" s="6">
        <v>-0.57499999999999996</v>
      </c>
      <c r="D126" s="6"/>
      <c r="E126" s="6"/>
      <c r="F126" s="6"/>
      <c r="G126" s="6"/>
      <c r="H126" s="6"/>
    </row>
    <row r="127" spans="1:8" ht="15.75" customHeight="1" x14ac:dyDescent="0.2">
      <c r="A127" s="1">
        <v>103</v>
      </c>
      <c r="B127" s="6">
        <v>0.42975206611570249</v>
      </c>
      <c r="C127" s="6">
        <v>0.57024793388429751</v>
      </c>
      <c r="D127" s="6"/>
      <c r="E127" s="6"/>
      <c r="F127" s="6"/>
      <c r="G127" s="6"/>
      <c r="H127" s="6"/>
    </row>
    <row r="128" spans="1:8" ht="15.75" customHeight="1" x14ac:dyDescent="0.2">
      <c r="A128" s="1">
        <v>104</v>
      </c>
      <c r="B128" s="6">
        <v>0.57499999999999996</v>
      </c>
      <c r="C128" s="6">
        <v>-0.57499999999999996</v>
      </c>
      <c r="D128" s="6"/>
      <c r="E128" s="6"/>
      <c r="F128" s="6"/>
      <c r="G128" s="6"/>
      <c r="H128" s="6"/>
    </row>
    <row r="129" spans="1:8" ht="15.75" customHeight="1" x14ac:dyDescent="0.2">
      <c r="A129" s="1">
        <v>105</v>
      </c>
      <c r="B129" s="6">
        <v>0.42975206611570249</v>
      </c>
      <c r="C129" s="6">
        <v>0.57024793388429751</v>
      </c>
      <c r="D129" s="6"/>
      <c r="E129" s="6"/>
      <c r="F129" s="6"/>
      <c r="G129" s="6"/>
      <c r="H129" s="6"/>
    </row>
    <row r="130" spans="1:8" ht="15.75" customHeight="1" x14ac:dyDescent="0.2">
      <c r="A130" s="1">
        <v>106</v>
      </c>
      <c r="B130" s="6">
        <v>0.57499999999999996</v>
      </c>
      <c r="C130" s="6">
        <v>0.42500000000000004</v>
      </c>
      <c r="D130" s="6"/>
      <c r="E130" s="6"/>
      <c r="F130" s="6"/>
      <c r="G130" s="6"/>
      <c r="H130" s="6"/>
    </row>
    <row r="131" spans="1:8" ht="15.75" customHeight="1" x14ac:dyDescent="0.2">
      <c r="A131" s="1">
        <v>107</v>
      </c>
      <c r="B131" s="6">
        <v>0.57499999999999996</v>
      </c>
      <c r="C131" s="6">
        <v>-0.57499999999999996</v>
      </c>
      <c r="D131" s="6"/>
      <c r="E131" s="6"/>
      <c r="F131" s="6"/>
      <c r="G131" s="6"/>
      <c r="H131" s="6"/>
    </row>
    <row r="132" spans="1:8" ht="15.75" customHeight="1" x14ac:dyDescent="0.2">
      <c r="A132" s="1">
        <v>108</v>
      </c>
      <c r="B132" s="6">
        <v>0.42975206611570249</v>
      </c>
      <c r="C132" s="6">
        <v>-0.42975206611570249</v>
      </c>
      <c r="D132" s="6"/>
      <c r="E132" s="6"/>
      <c r="F132" s="6"/>
      <c r="G132" s="6"/>
      <c r="H132" s="6"/>
    </row>
    <row r="133" spans="1:8" ht="15.75" customHeight="1" x14ac:dyDescent="0.2">
      <c r="A133" s="1">
        <v>109</v>
      </c>
      <c r="B133" s="6">
        <v>0.57499999999999996</v>
      </c>
      <c r="C133" s="6">
        <v>0.42500000000000004</v>
      </c>
      <c r="D133" s="6"/>
      <c r="E133" s="6"/>
      <c r="F133" s="6"/>
      <c r="G133" s="6"/>
      <c r="H133" s="6"/>
    </row>
    <row r="134" spans="1:8" ht="15.75" customHeight="1" x14ac:dyDescent="0.2">
      <c r="A134" s="1">
        <v>110</v>
      </c>
      <c r="B134" s="6">
        <v>0.57499999999999996</v>
      </c>
      <c r="C134" s="6">
        <v>0.42500000000000004</v>
      </c>
      <c r="D134" s="6"/>
      <c r="E134" s="6"/>
      <c r="F134" s="6"/>
      <c r="G134" s="6"/>
      <c r="H134" s="6"/>
    </row>
    <row r="135" spans="1:8" ht="15.75" customHeight="1" x14ac:dyDescent="0.2">
      <c r="A135" s="1">
        <v>111</v>
      </c>
      <c r="B135" s="6">
        <v>0.57499999999999996</v>
      </c>
      <c r="C135" s="6">
        <v>-0.57499999999999996</v>
      </c>
      <c r="D135" s="6"/>
      <c r="E135" s="6"/>
      <c r="F135" s="6"/>
      <c r="G135" s="6"/>
      <c r="H135" s="6"/>
    </row>
    <row r="136" spans="1:8" ht="15.75" customHeight="1" x14ac:dyDescent="0.2">
      <c r="A136" s="1">
        <v>112</v>
      </c>
      <c r="B136" s="6">
        <v>0.57499999999999996</v>
      </c>
      <c r="C136" s="6">
        <v>0.42500000000000004</v>
      </c>
      <c r="D136" s="6"/>
      <c r="E136" s="6"/>
      <c r="F136" s="6"/>
      <c r="G136" s="6"/>
      <c r="H136" s="6"/>
    </row>
    <row r="137" spans="1:8" ht="15.75" customHeight="1" x14ac:dyDescent="0.2">
      <c r="A137" s="1">
        <v>113</v>
      </c>
      <c r="B137" s="6">
        <v>0.42975206611570249</v>
      </c>
      <c r="C137" s="6">
        <v>-0.42975206611570249</v>
      </c>
      <c r="D137" s="6"/>
      <c r="E137" s="6"/>
      <c r="F137" s="6"/>
      <c r="G137" s="6"/>
      <c r="H137" s="6"/>
    </row>
    <row r="138" spans="1:8" ht="15.75" customHeight="1" x14ac:dyDescent="0.2">
      <c r="A138" s="1">
        <v>114</v>
      </c>
      <c r="B138" s="6">
        <v>0.42975206611570249</v>
      </c>
      <c r="C138" s="6">
        <v>0.57024793388429751</v>
      </c>
      <c r="D138" s="6"/>
      <c r="E138" s="6"/>
      <c r="F138" s="6"/>
      <c r="G138" s="6"/>
      <c r="H138" s="6"/>
    </row>
    <row r="139" spans="1:8" ht="15.75" customHeight="1" x14ac:dyDescent="0.2">
      <c r="A139" s="1">
        <v>115</v>
      </c>
      <c r="B139" s="6">
        <v>0.57499999999999996</v>
      </c>
      <c r="C139" s="6">
        <v>-0.57499999999999996</v>
      </c>
      <c r="D139" s="6"/>
      <c r="E139" s="6"/>
      <c r="F139" s="6"/>
      <c r="G139" s="6"/>
      <c r="H139" s="6"/>
    </row>
    <row r="140" spans="1:8" ht="15.75" customHeight="1" x14ac:dyDescent="0.2">
      <c r="A140" s="1">
        <v>116</v>
      </c>
      <c r="B140" s="6">
        <v>0.57499999999999996</v>
      </c>
      <c r="C140" s="6">
        <v>-0.57499999999999996</v>
      </c>
      <c r="D140" s="6"/>
      <c r="E140" s="6"/>
      <c r="F140" s="6"/>
      <c r="G140" s="6"/>
      <c r="H140" s="6"/>
    </row>
    <row r="141" spans="1:8" ht="15.75" customHeight="1" x14ac:dyDescent="0.2">
      <c r="A141" s="1">
        <v>117</v>
      </c>
      <c r="B141" s="6">
        <v>0.42975206611570249</v>
      </c>
      <c r="C141" s="6">
        <v>-0.42975206611570249</v>
      </c>
      <c r="D141" s="6"/>
      <c r="E141" s="6"/>
      <c r="F141" s="6"/>
      <c r="G141" s="6"/>
      <c r="H141" s="6"/>
    </row>
    <row r="142" spans="1:8" ht="15.75" customHeight="1" x14ac:dyDescent="0.2">
      <c r="A142" s="1">
        <v>118</v>
      </c>
      <c r="B142" s="6">
        <v>0.57499999999999996</v>
      </c>
      <c r="C142" s="6">
        <v>0.42500000000000004</v>
      </c>
      <c r="D142" s="6"/>
      <c r="E142" s="6"/>
      <c r="F142" s="6"/>
      <c r="G142" s="6"/>
      <c r="H142" s="6"/>
    </row>
    <row r="143" spans="1:8" ht="15.75" customHeight="1" x14ac:dyDescent="0.2">
      <c r="A143" s="1">
        <v>119</v>
      </c>
      <c r="B143" s="6">
        <v>0.42975206611570249</v>
      </c>
      <c r="C143" s="6">
        <v>0.57024793388429751</v>
      </c>
      <c r="D143" s="6"/>
      <c r="E143" s="6"/>
      <c r="F143" s="6"/>
      <c r="G143" s="6"/>
      <c r="H143" s="6"/>
    </row>
    <row r="144" spans="1:8" ht="15.75" customHeight="1" x14ac:dyDescent="0.2">
      <c r="A144" s="1">
        <v>120</v>
      </c>
      <c r="B144" s="6">
        <v>0.57499999999999996</v>
      </c>
      <c r="C144" s="6">
        <v>-0.57499999999999996</v>
      </c>
      <c r="D144" s="6"/>
      <c r="E144" s="6"/>
      <c r="F144" s="6"/>
      <c r="G144" s="6"/>
      <c r="H144" s="6"/>
    </row>
    <row r="145" spans="1:8" ht="15.75" customHeight="1" x14ac:dyDescent="0.2">
      <c r="A145" s="1">
        <v>121</v>
      </c>
      <c r="B145" s="6">
        <v>0.42975206611570249</v>
      </c>
      <c r="C145" s="6">
        <v>-0.42975206611570249</v>
      </c>
      <c r="D145" s="6"/>
      <c r="E145" s="6"/>
      <c r="F145" s="6"/>
      <c r="G145" s="6"/>
      <c r="H145" s="6"/>
    </row>
    <row r="146" spans="1:8" ht="15.75" customHeight="1" x14ac:dyDescent="0.2">
      <c r="A146" s="1">
        <v>122</v>
      </c>
      <c r="B146" s="6">
        <v>0.57499999999999996</v>
      </c>
      <c r="C146" s="6">
        <v>0.42500000000000004</v>
      </c>
      <c r="D146" s="6"/>
      <c r="E146" s="6"/>
      <c r="F146" s="6"/>
      <c r="G146" s="6"/>
      <c r="H146" s="6"/>
    </row>
    <row r="147" spans="1:8" ht="15.75" customHeight="1" x14ac:dyDescent="0.2">
      <c r="A147" s="1">
        <v>123</v>
      </c>
      <c r="B147" s="6">
        <v>0.42975206611570249</v>
      </c>
      <c r="C147" s="6">
        <v>-0.42975206611570249</v>
      </c>
      <c r="D147" s="6"/>
      <c r="E147" s="6"/>
      <c r="F147" s="6"/>
      <c r="G147" s="6"/>
      <c r="H147" s="6"/>
    </row>
    <row r="148" spans="1:8" ht="15.75" customHeight="1" x14ac:dyDescent="0.2">
      <c r="A148" s="1">
        <v>124</v>
      </c>
      <c r="B148" s="6">
        <v>0.57499999999999996</v>
      </c>
      <c r="C148" s="6">
        <v>0.42500000000000004</v>
      </c>
      <c r="D148" s="6"/>
      <c r="E148" s="6"/>
      <c r="F148" s="6"/>
      <c r="G148" s="6"/>
      <c r="H148" s="6"/>
    </row>
    <row r="149" spans="1:8" ht="15.75" customHeight="1" x14ac:dyDescent="0.2">
      <c r="A149" s="1">
        <v>125</v>
      </c>
      <c r="B149" s="6">
        <v>0.42975206611570249</v>
      </c>
      <c r="C149" s="6">
        <v>-0.42975206611570249</v>
      </c>
      <c r="D149" s="6"/>
      <c r="E149" s="6"/>
      <c r="F149" s="6"/>
      <c r="G149" s="6"/>
      <c r="H149" s="6"/>
    </row>
    <row r="150" spans="1:8" ht="15.75" customHeight="1" x14ac:dyDescent="0.2">
      <c r="A150" s="1">
        <v>126</v>
      </c>
      <c r="B150" s="6">
        <v>0.57499999999999996</v>
      </c>
      <c r="C150" s="6">
        <v>0.42500000000000004</v>
      </c>
      <c r="D150" s="6"/>
      <c r="E150" s="6"/>
      <c r="F150" s="6"/>
      <c r="G150" s="6"/>
      <c r="H150" s="6"/>
    </row>
    <row r="151" spans="1:8" ht="15.75" customHeight="1" x14ac:dyDescent="0.2">
      <c r="A151" s="1">
        <v>127</v>
      </c>
      <c r="B151" s="6">
        <v>0.42975206611570249</v>
      </c>
      <c r="C151" s="6">
        <v>-0.42975206611570249</v>
      </c>
      <c r="D151" s="6"/>
      <c r="E151" s="6"/>
      <c r="F151" s="6"/>
      <c r="G151" s="6"/>
      <c r="H151" s="6"/>
    </row>
    <row r="152" spans="1:8" ht="15.75" customHeight="1" x14ac:dyDescent="0.2">
      <c r="A152" s="1">
        <v>128</v>
      </c>
      <c r="B152" s="6">
        <v>0.57499999999999996</v>
      </c>
      <c r="C152" s="6">
        <v>-0.57499999999999996</v>
      </c>
      <c r="D152" s="6"/>
      <c r="E152" s="6"/>
      <c r="F152" s="6"/>
      <c r="G152" s="6"/>
      <c r="H152" s="6"/>
    </row>
    <row r="153" spans="1:8" ht="15.75" customHeight="1" x14ac:dyDescent="0.2">
      <c r="A153" s="1">
        <v>129</v>
      </c>
      <c r="B153" s="6">
        <v>0.42975206611570249</v>
      </c>
      <c r="C153" s="6">
        <v>0.57024793388429751</v>
      </c>
      <c r="D153" s="6"/>
      <c r="E153" s="6"/>
      <c r="F153" s="6"/>
      <c r="G153" s="6"/>
      <c r="H153" s="6"/>
    </row>
    <row r="154" spans="1:8" ht="15.75" customHeight="1" x14ac:dyDescent="0.2">
      <c r="A154" s="1">
        <v>130</v>
      </c>
      <c r="B154" s="6">
        <v>0.42975206611570249</v>
      </c>
      <c r="C154" s="6">
        <v>0.57024793388429751</v>
      </c>
      <c r="D154" s="6"/>
      <c r="E154" s="6"/>
      <c r="F154" s="6"/>
      <c r="G154" s="6"/>
      <c r="H154" s="6"/>
    </row>
    <row r="155" spans="1:8" ht="15.75" customHeight="1" x14ac:dyDescent="0.2">
      <c r="A155" s="1">
        <v>131</v>
      </c>
      <c r="B155" s="6">
        <v>0.57499999999999996</v>
      </c>
      <c r="C155" s="6">
        <v>-0.57499999999999996</v>
      </c>
      <c r="D155" s="6"/>
      <c r="E155" s="6"/>
      <c r="F155" s="6"/>
      <c r="G155" s="6"/>
      <c r="H155" s="6"/>
    </row>
    <row r="156" spans="1:8" ht="15.75" customHeight="1" x14ac:dyDescent="0.2">
      <c r="A156" s="1">
        <v>132</v>
      </c>
      <c r="B156" s="6">
        <v>0.42975206611570249</v>
      </c>
      <c r="C156" s="6">
        <v>0.57024793388429751</v>
      </c>
      <c r="D156" s="6"/>
      <c r="E156" s="6"/>
      <c r="F156" s="6"/>
      <c r="G156" s="6"/>
      <c r="H156" s="6"/>
    </row>
    <row r="157" spans="1:8" ht="15.75" customHeight="1" x14ac:dyDescent="0.2">
      <c r="A157" s="1">
        <v>133</v>
      </c>
      <c r="B157" s="6">
        <v>0.42975206611570249</v>
      </c>
      <c r="C157" s="6">
        <v>-0.42975206611570249</v>
      </c>
      <c r="D157" s="6"/>
      <c r="E157" s="6"/>
      <c r="F157" s="6"/>
      <c r="G157" s="6"/>
      <c r="H157" s="6"/>
    </row>
    <row r="158" spans="1:8" ht="15.75" customHeight="1" x14ac:dyDescent="0.2">
      <c r="A158" s="1">
        <v>134</v>
      </c>
      <c r="B158" s="6">
        <v>0.57499999999999996</v>
      </c>
      <c r="C158" s="6">
        <v>-0.57499999999999996</v>
      </c>
      <c r="D158" s="6"/>
      <c r="E158" s="6"/>
      <c r="F158" s="6"/>
      <c r="G158" s="6"/>
      <c r="H158" s="6"/>
    </row>
    <row r="159" spans="1:8" ht="15.75" customHeight="1" x14ac:dyDescent="0.2">
      <c r="A159" s="1">
        <v>135</v>
      </c>
      <c r="B159" s="6">
        <v>0.42975206611570249</v>
      </c>
      <c r="C159" s="6">
        <v>-0.42975206611570249</v>
      </c>
      <c r="D159" s="6"/>
      <c r="E159" s="6"/>
      <c r="F159" s="6"/>
      <c r="G159" s="6"/>
      <c r="H159" s="6"/>
    </row>
    <row r="160" spans="1:8" ht="15.75" customHeight="1" x14ac:dyDescent="0.2">
      <c r="A160" s="1">
        <v>136</v>
      </c>
      <c r="B160" s="6">
        <v>0.42975206611570249</v>
      </c>
      <c r="C160" s="6">
        <v>-0.42975206611570249</v>
      </c>
      <c r="D160" s="6"/>
      <c r="E160" s="6"/>
      <c r="F160" s="6"/>
      <c r="G160" s="6"/>
      <c r="H160" s="6"/>
    </row>
    <row r="161" spans="1:8" ht="15.75" customHeight="1" x14ac:dyDescent="0.2">
      <c r="A161" s="1">
        <v>137</v>
      </c>
      <c r="B161" s="6">
        <v>0.57499999999999996</v>
      </c>
      <c r="C161" s="6">
        <v>-0.57499999999999996</v>
      </c>
      <c r="D161" s="6"/>
      <c r="E161" s="6"/>
      <c r="F161" s="6"/>
      <c r="G161" s="6"/>
      <c r="H161" s="6"/>
    </row>
    <row r="162" spans="1:8" ht="15.75" customHeight="1" x14ac:dyDescent="0.2">
      <c r="A162" s="1">
        <v>138</v>
      </c>
      <c r="B162" s="6">
        <v>0.42975206611570249</v>
      </c>
      <c r="C162" s="6">
        <v>0.57024793388429751</v>
      </c>
      <c r="D162" s="6"/>
      <c r="E162" s="6"/>
      <c r="F162" s="6"/>
      <c r="G162" s="6"/>
      <c r="H162" s="6"/>
    </row>
    <row r="163" spans="1:8" ht="15.75" customHeight="1" x14ac:dyDescent="0.2">
      <c r="A163" s="1">
        <v>139</v>
      </c>
      <c r="B163" s="6">
        <v>0.57499999999999996</v>
      </c>
      <c r="C163" s="6">
        <v>-0.57499999999999996</v>
      </c>
      <c r="D163" s="6"/>
      <c r="E163" s="6"/>
      <c r="F163" s="6"/>
      <c r="G163" s="6"/>
      <c r="H163" s="6"/>
    </row>
    <row r="164" spans="1:8" ht="15.75" customHeight="1" x14ac:dyDescent="0.2">
      <c r="A164" s="1">
        <v>140</v>
      </c>
      <c r="B164" s="6">
        <v>0.57499999999999996</v>
      </c>
      <c r="C164" s="6">
        <v>0.42500000000000004</v>
      </c>
      <c r="D164" s="6"/>
      <c r="E164" s="6"/>
      <c r="F164" s="6"/>
      <c r="G164" s="6"/>
      <c r="H164" s="6"/>
    </row>
    <row r="165" spans="1:8" ht="15.75" customHeight="1" x14ac:dyDescent="0.2">
      <c r="A165" s="1">
        <v>141</v>
      </c>
      <c r="B165" s="6">
        <v>0.42975206611570249</v>
      </c>
      <c r="C165" s="6">
        <v>-0.42975206611570249</v>
      </c>
      <c r="D165" s="6"/>
      <c r="E165" s="6"/>
      <c r="F165" s="6"/>
      <c r="G165" s="6"/>
      <c r="H165" s="6"/>
    </row>
    <row r="166" spans="1:8" ht="15.75" customHeight="1" x14ac:dyDescent="0.2">
      <c r="A166" s="1">
        <v>142</v>
      </c>
      <c r="B166" s="6">
        <v>0.57499999999999996</v>
      </c>
      <c r="C166" s="6">
        <v>0.42500000000000004</v>
      </c>
      <c r="D166" s="6"/>
      <c r="E166" s="6"/>
      <c r="F166" s="6"/>
      <c r="G166" s="6"/>
      <c r="H166" s="6"/>
    </row>
    <row r="167" spans="1:8" ht="15.75" customHeight="1" x14ac:dyDescent="0.2">
      <c r="A167" s="1">
        <v>143</v>
      </c>
      <c r="B167" s="6">
        <v>0.42975206611570249</v>
      </c>
      <c r="C167" s="6">
        <v>-0.42975206611570249</v>
      </c>
      <c r="D167" s="6"/>
      <c r="E167" s="6"/>
      <c r="F167" s="6"/>
      <c r="G167" s="6"/>
      <c r="H167" s="6"/>
    </row>
    <row r="168" spans="1:8" ht="15.75" customHeight="1" x14ac:dyDescent="0.2">
      <c r="A168" s="1">
        <v>144</v>
      </c>
      <c r="B168" s="6">
        <v>0.57499999999999996</v>
      </c>
      <c r="C168" s="6">
        <v>0.42500000000000004</v>
      </c>
      <c r="D168" s="6"/>
      <c r="E168" s="6"/>
      <c r="F168" s="6"/>
      <c r="G168" s="6"/>
      <c r="H168" s="6"/>
    </row>
    <row r="169" spans="1:8" ht="15.75" customHeight="1" x14ac:dyDescent="0.2">
      <c r="A169" s="1">
        <v>145</v>
      </c>
      <c r="B169" s="6">
        <v>0.42975206611570249</v>
      </c>
      <c r="C169" s="6">
        <v>-0.42975206611570249</v>
      </c>
      <c r="D169" s="6"/>
      <c r="E169" s="6"/>
      <c r="F169" s="6"/>
      <c r="G169" s="6"/>
      <c r="H169" s="6"/>
    </row>
    <row r="170" spans="1:8" ht="15.75" customHeight="1" x14ac:dyDescent="0.2">
      <c r="A170" s="1">
        <v>146</v>
      </c>
      <c r="B170" s="6">
        <v>0.57499999999999996</v>
      </c>
      <c r="C170" s="6">
        <v>0.42500000000000004</v>
      </c>
      <c r="D170" s="6"/>
      <c r="E170" s="6"/>
      <c r="F170" s="6"/>
      <c r="G170" s="6"/>
      <c r="H170" s="6"/>
    </row>
    <row r="171" spans="1:8" ht="15.75" customHeight="1" x14ac:dyDescent="0.2">
      <c r="A171" s="1">
        <v>147</v>
      </c>
      <c r="B171" s="6">
        <v>0.57499999999999996</v>
      </c>
      <c r="C171" s="6">
        <v>-0.57499999999999996</v>
      </c>
      <c r="D171" s="6"/>
      <c r="E171" s="6"/>
      <c r="F171" s="6"/>
      <c r="G171" s="6"/>
      <c r="H171" s="6"/>
    </row>
    <row r="172" spans="1:8" ht="15.75" customHeight="1" x14ac:dyDescent="0.2">
      <c r="A172" s="1">
        <v>148</v>
      </c>
      <c r="B172" s="6">
        <v>0.42975206611570249</v>
      </c>
      <c r="C172" s="6">
        <v>0.57024793388429751</v>
      </c>
      <c r="D172" s="6"/>
      <c r="E172" s="6"/>
      <c r="F172" s="6"/>
      <c r="G172" s="6"/>
      <c r="H172" s="6"/>
    </row>
    <row r="173" spans="1:8" ht="15.75" customHeight="1" x14ac:dyDescent="0.2">
      <c r="A173" s="1">
        <v>149</v>
      </c>
      <c r="B173" s="6">
        <v>0.57499999999999996</v>
      </c>
      <c r="C173" s="6">
        <v>0.42500000000000004</v>
      </c>
      <c r="D173" s="6"/>
      <c r="E173" s="6"/>
      <c r="F173" s="6"/>
      <c r="G173" s="6"/>
      <c r="H173" s="6"/>
    </row>
    <row r="174" spans="1:8" ht="15.75" customHeight="1" x14ac:dyDescent="0.2">
      <c r="A174" s="1">
        <v>150</v>
      </c>
      <c r="B174" s="6">
        <v>0.42975206611570249</v>
      </c>
      <c r="C174" s="6">
        <v>-0.42975206611570249</v>
      </c>
      <c r="D174" s="6"/>
      <c r="E174" s="6"/>
      <c r="F174" s="6"/>
      <c r="G174" s="6"/>
      <c r="H174" s="6"/>
    </row>
    <row r="175" spans="1:8" ht="15.75" customHeight="1" x14ac:dyDescent="0.2">
      <c r="A175" s="1">
        <v>151</v>
      </c>
      <c r="B175" s="6">
        <v>0.57499999999999996</v>
      </c>
      <c r="C175" s="6">
        <v>0.42500000000000004</v>
      </c>
      <c r="D175" s="6"/>
      <c r="E175" s="6"/>
      <c r="F175" s="6"/>
      <c r="G175" s="6"/>
      <c r="H175" s="6"/>
    </row>
    <row r="176" spans="1:8" ht="15.75" customHeight="1" x14ac:dyDescent="0.2">
      <c r="A176" s="1">
        <v>152</v>
      </c>
      <c r="B176" s="6">
        <v>0.42975206611570249</v>
      </c>
      <c r="C176" s="6">
        <v>0.57024793388429751</v>
      </c>
      <c r="D176" s="6"/>
      <c r="E176" s="6"/>
      <c r="F176" s="6"/>
      <c r="G176" s="6"/>
      <c r="H176" s="6"/>
    </row>
    <row r="177" spans="1:8" ht="15.75" customHeight="1" x14ac:dyDescent="0.2">
      <c r="A177" s="1">
        <v>153</v>
      </c>
      <c r="B177" s="6">
        <v>0.42975206611570249</v>
      </c>
      <c r="C177" s="6">
        <v>0.57024793388429751</v>
      </c>
      <c r="D177" s="6"/>
      <c r="E177" s="6"/>
      <c r="F177" s="6"/>
      <c r="G177" s="6"/>
      <c r="H177" s="6"/>
    </row>
    <row r="178" spans="1:8" ht="15.75" customHeight="1" x14ac:dyDescent="0.2">
      <c r="A178" s="1">
        <v>154</v>
      </c>
      <c r="B178" s="6">
        <v>0.57499999999999996</v>
      </c>
      <c r="C178" s="6">
        <v>0.42500000000000004</v>
      </c>
      <c r="D178" s="6"/>
      <c r="E178" s="6"/>
      <c r="F178" s="6"/>
      <c r="G178" s="6"/>
      <c r="H178" s="6"/>
    </row>
    <row r="179" spans="1:8" ht="15.75" customHeight="1" x14ac:dyDescent="0.2">
      <c r="A179" s="1">
        <v>155</v>
      </c>
      <c r="B179" s="6">
        <v>0.42975206611570249</v>
      </c>
      <c r="C179" s="6">
        <v>0.57024793388429751</v>
      </c>
      <c r="D179" s="6"/>
      <c r="E179" s="6"/>
      <c r="F179" s="6"/>
      <c r="G179" s="6"/>
      <c r="H179" s="6"/>
    </row>
    <row r="180" spans="1:8" ht="15.75" customHeight="1" x14ac:dyDescent="0.2">
      <c r="A180" s="1">
        <v>156</v>
      </c>
      <c r="B180" s="6">
        <v>0.42975206611570249</v>
      </c>
      <c r="C180" s="6">
        <v>-0.42975206611570249</v>
      </c>
      <c r="D180" s="6"/>
      <c r="E180" s="6"/>
      <c r="F180" s="6"/>
      <c r="G180" s="6"/>
      <c r="H180" s="6"/>
    </row>
    <row r="181" spans="1:8" ht="15.75" customHeight="1" x14ac:dyDescent="0.2">
      <c r="A181" s="1">
        <v>157</v>
      </c>
      <c r="B181" s="6">
        <v>0.57499999999999996</v>
      </c>
      <c r="C181" s="6">
        <v>0.42500000000000004</v>
      </c>
      <c r="D181" s="6"/>
      <c r="E181" s="6"/>
      <c r="F181" s="6"/>
      <c r="G181" s="6"/>
      <c r="H181" s="6"/>
    </row>
    <row r="182" spans="1:8" ht="15.75" customHeight="1" x14ac:dyDescent="0.2">
      <c r="A182" s="1">
        <v>158</v>
      </c>
      <c r="B182" s="6">
        <v>0.42975206611570249</v>
      </c>
      <c r="C182" s="6">
        <v>-0.42975206611570249</v>
      </c>
      <c r="D182" s="6"/>
      <c r="E182" s="6"/>
      <c r="F182" s="6"/>
      <c r="G182" s="6"/>
      <c r="H182" s="6"/>
    </row>
    <row r="183" spans="1:8" ht="15.75" customHeight="1" x14ac:dyDescent="0.2">
      <c r="A183" s="1">
        <v>159</v>
      </c>
      <c r="B183" s="6">
        <v>0.42975206611570249</v>
      </c>
      <c r="C183" s="6">
        <v>-0.42975206611570249</v>
      </c>
      <c r="D183" s="6"/>
      <c r="E183" s="6"/>
      <c r="F183" s="6"/>
      <c r="G183" s="6"/>
      <c r="H183" s="6"/>
    </row>
    <row r="184" spans="1:8" ht="15.75" customHeight="1" x14ac:dyDescent="0.2">
      <c r="A184" s="1">
        <v>160</v>
      </c>
      <c r="B184" s="6">
        <v>0.57499999999999996</v>
      </c>
      <c r="C184" s="6">
        <v>0.42500000000000004</v>
      </c>
      <c r="D184" s="6"/>
      <c r="E184" s="6"/>
      <c r="F184" s="6"/>
      <c r="G184" s="6"/>
      <c r="H184" s="6"/>
    </row>
    <row r="185" spans="1:8" ht="15.75" customHeight="1" x14ac:dyDescent="0.2">
      <c r="A185" s="1">
        <v>161</v>
      </c>
      <c r="B185" s="6">
        <v>0.42975206611570249</v>
      </c>
      <c r="C185" s="6">
        <v>0.57024793388429751</v>
      </c>
      <c r="D185" s="6"/>
      <c r="E185" s="6"/>
      <c r="F185" s="6"/>
      <c r="G185" s="6"/>
      <c r="H185" s="6"/>
    </row>
    <row r="186" spans="1:8" ht="15.75" customHeight="1" x14ac:dyDescent="0.2">
      <c r="A186" s="1">
        <v>162</v>
      </c>
      <c r="B186" s="6">
        <v>0.57499999999999996</v>
      </c>
      <c r="C186" s="6">
        <v>0.42500000000000004</v>
      </c>
      <c r="D186" s="6"/>
      <c r="E186" s="6"/>
      <c r="F186" s="6"/>
      <c r="G186" s="6"/>
      <c r="H186" s="6"/>
    </row>
    <row r="187" spans="1:8" ht="15.75" customHeight="1" x14ac:dyDescent="0.2">
      <c r="A187" s="1">
        <v>163</v>
      </c>
      <c r="B187" s="6">
        <v>0.42975206611570249</v>
      </c>
      <c r="C187" s="6">
        <v>-0.42975206611570249</v>
      </c>
      <c r="D187" s="6"/>
      <c r="E187" s="6"/>
      <c r="F187" s="6"/>
      <c r="G187" s="6"/>
      <c r="H187" s="6"/>
    </row>
    <row r="188" spans="1:8" ht="15.75" customHeight="1" x14ac:dyDescent="0.2">
      <c r="A188" s="1">
        <v>164</v>
      </c>
      <c r="B188" s="6">
        <v>0.42975206611570249</v>
      </c>
      <c r="C188" s="6">
        <v>0.57024793388429751</v>
      </c>
      <c r="D188" s="6"/>
      <c r="E188" s="6"/>
      <c r="F188" s="6"/>
      <c r="G188" s="6"/>
      <c r="H188" s="6"/>
    </row>
    <row r="189" spans="1:8" ht="15.75" customHeight="1" x14ac:dyDescent="0.2">
      <c r="A189" s="1">
        <v>165</v>
      </c>
      <c r="B189" s="6">
        <v>0.42975206611570249</v>
      </c>
      <c r="C189" s="6">
        <v>-0.42975206611570249</v>
      </c>
      <c r="D189" s="6"/>
      <c r="E189" s="6"/>
      <c r="F189" s="6"/>
      <c r="G189" s="6"/>
      <c r="H189" s="6"/>
    </row>
    <row r="190" spans="1:8" ht="15.75" customHeight="1" x14ac:dyDescent="0.2">
      <c r="A190" s="1">
        <v>166</v>
      </c>
      <c r="B190" s="6">
        <v>0.57499999999999996</v>
      </c>
      <c r="C190" s="6">
        <v>0.42500000000000004</v>
      </c>
      <c r="D190" s="6"/>
      <c r="E190" s="6"/>
      <c r="F190" s="6"/>
      <c r="G190" s="6"/>
      <c r="H190" s="6"/>
    </row>
    <row r="191" spans="1:8" ht="15.75" customHeight="1" x14ac:dyDescent="0.2">
      <c r="A191" s="1">
        <v>167</v>
      </c>
      <c r="B191" s="6">
        <v>0.57499999999999996</v>
      </c>
      <c r="C191" s="6">
        <v>-0.57499999999999996</v>
      </c>
      <c r="D191" s="6"/>
      <c r="E191" s="6"/>
      <c r="F191" s="6"/>
      <c r="G191" s="6"/>
      <c r="H191" s="6"/>
    </row>
    <row r="192" spans="1:8" ht="15.75" customHeight="1" x14ac:dyDescent="0.2">
      <c r="A192" s="1">
        <v>168</v>
      </c>
      <c r="B192" s="6">
        <v>0.57499999999999996</v>
      </c>
      <c r="C192" s="6">
        <v>-0.57499999999999996</v>
      </c>
      <c r="D192" s="6"/>
      <c r="E192" s="6"/>
      <c r="F192" s="6"/>
      <c r="G192" s="6"/>
      <c r="H192" s="6"/>
    </row>
    <row r="193" spans="1:8" ht="15.75" customHeight="1" x14ac:dyDescent="0.2">
      <c r="A193" s="1">
        <v>169</v>
      </c>
      <c r="B193" s="6">
        <v>0.42975206611570249</v>
      </c>
      <c r="C193" s="6">
        <v>0.57024793388429751</v>
      </c>
      <c r="D193" s="6"/>
      <c r="E193" s="6"/>
      <c r="F193" s="6"/>
      <c r="G193" s="6"/>
      <c r="H193" s="6"/>
    </row>
    <row r="194" spans="1:8" ht="15.75" customHeight="1" x14ac:dyDescent="0.2">
      <c r="A194" s="1">
        <v>170</v>
      </c>
      <c r="B194" s="6">
        <v>0.42975206611570249</v>
      </c>
      <c r="C194" s="6">
        <v>-0.42975206611570249</v>
      </c>
      <c r="D194" s="6"/>
      <c r="E194" s="6"/>
      <c r="F194" s="6"/>
      <c r="G194" s="6"/>
      <c r="H194" s="6"/>
    </row>
    <row r="195" spans="1:8" ht="15.75" customHeight="1" x14ac:dyDescent="0.2">
      <c r="A195" s="1">
        <v>171</v>
      </c>
      <c r="B195" s="6">
        <v>0.42975206611570249</v>
      </c>
      <c r="C195" s="6">
        <v>-0.42975206611570249</v>
      </c>
      <c r="D195" s="6"/>
      <c r="E195" s="6"/>
      <c r="F195" s="6"/>
      <c r="G195" s="6"/>
      <c r="H195" s="6"/>
    </row>
    <row r="196" spans="1:8" ht="15.75" customHeight="1" x14ac:dyDescent="0.2">
      <c r="A196" s="1">
        <v>172</v>
      </c>
      <c r="B196" s="6">
        <v>0.57499999999999996</v>
      </c>
      <c r="C196" s="6">
        <v>0.42500000000000004</v>
      </c>
      <c r="D196" s="6"/>
      <c r="E196" s="6"/>
      <c r="F196" s="6"/>
      <c r="G196" s="6"/>
      <c r="H196" s="6"/>
    </row>
    <row r="197" spans="1:8" ht="15.75" customHeight="1" x14ac:dyDescent="0.2">
      <c r="A197" s="1">
        <v>173</v>
      </c>
      <c r="B197" s="6">
        <v>0.57499999999999996</v>
      </c>
      <c r="C197" s="6">
        <v>0.42500000000000004</v>
      </c>
      <c r="D197" s="6"/>
      <c r="E197" s="6"/>
      <c r="F197" s="6"/>
      <c r="G197" s="6"/>
      <c r="H197" s="6"/>
    </row>
    <row r="198" spans="1:8" ht="15.75" customHeight="1" x14ac:dyDescent="0.2">
      <c r="A198" s="1">
        <v>174</v>
      </c>
      <c r="B198" s="6">
        <v>0.57499999999999996</v>
      </c>
      <c r="C198" s="6">
        <v>0.42500000000000004</v>
      </c>
      <c r="D198" s="6"/>
      <c r="E198" s="6"/>
      <c r="F198" s="6"/>
      <c r="G198" s="6"/>
      <c r="H198" s="6"/>
    </row>
    <row r="199" spans="1:8" ht="15.75" customHeight="1" x14ac:dyDescent="0.2">
      <c r="A199" s="1">
        <v>175</v>
      </c>
      <c r="B199" s="6">
        <v>0.42975206611570249</v>
      </c>
      <c r="C199" s="6">
        <v>0.57024793388429751</v>
      </c>
      <c r="D199" s="6"/>
      <c r="E199" s="6"/>
      <c r="F199" s="6"/>
      <c r="G199" s="6"/>
      <c r="H199" s="6"/>
    </row>
    <row r="200" spans="1:8" ht="15.75" customHeight="1" x14ac:dyDescent="0.2">
      <c r="A200" s="1">
        <v>176</v>
      </c>
      <c r="B200" s="6">
        <v>0.57499999999999996</v>
      </c>
      <c r="C200" s="6">
        <v>0.42500000000000004</v>
      </c>
      <c r="D200" s="6"/>
      <c r="E200" s="6"/>
      <c r="F200" s="6"/>
      <c r="G200" s="6"/>
      <c r="H200" s="6"/>
    </row>
    <row r="201" spans="1:8" ht="15.75" customHeight="1" x14ac:dyDescent="0.2">
      <c r="A201" s="1">
        <v>177</v>
      </c>
      <c r="B201" s="6">
        <v>0.42975206611570249</v>
      </c>
      <c r="C201" s="6">
        <v>0.57024793388429751</v>
      </c>
      <c r="D201" s="6"/>
      <c r="E201" s="6"/>
      <c r="F201" s="6"/>
      <c r="G201" s="6"/>
      <c r="H201" s="6"/>
    </row>
    <row r="202" spans="1:8" ht="15.75" customHeight="1" x14ac:dyDescent="0.2">
      <c r="A202" s="1">
        <v>178</v>
      </c>
      <c r="B202" s="6">
        <v>0.57499999999999996</v>
      </c>
      <c r="C202" s="6">
        <v>-0.57499999999999996</v>
      </c>
      <c r="D202" s="6"/>
      <c r="E202" s="6"/>
      <c r="F202" s="6"/>
      <c r="G202" s="6"/>
      <c r="H202" s="6"/>
    </row>
    <row r="203" spans="1:8" ht="15.75" customHeight="1" x14ac:dyDescent="0.2">
      <c r="A203" s="1">
        <v>179</v>
      </c>
      <c r="B203" s="6">
        <v>0.42975206611570249</v>
      </c>
      <c r="C203" s="6">
        <v>-0.42975206611570249</v>
      </c>
      <c r="D203" s="6"/>
      <c r="E203" s="6"/>
      <c r="F203" s="6"/>
      <c r="G203" s="6"/>
      <c r="H203" s="6"/>
    </row>
    <row r="204" spans="1:8" ht="15.75" customHeight="1" x14ac:dyDescent="0.2">
      <c r="A204" s="1">
        <v>180</v>
      </c>
      <c r="B204" s="6">
        <v>0.57499999999999996</v>
      </c>
      <c r="C204" s="6">
        <v>0.42500000000000004</v>
      </c>
      <c r="D204" s="6"/>
      <c r="E204" s="6"/>
      <c r="F204" s="6"/>
      <c r="G204" s="6"/>
      <c r="H204" s="6"/>
    </row>
    <row r="205" spans="1:8" ht="15.75" customHeight="1" x14ac:dyDescent="0.2">
      <c r="A205" s="1">
        <v>181</v>
      </c>
      <c r="B205" s="6">
        <v>0.42975206611570249</v>
      </c>
      <c r="C205" s="6">
        <v>0.57024793388429751</v>
      </c>
      <c r="D205" s="6"/>
      <c r="E205" s="6"/>
      <c r="F205" s="6"/>
      <c r="G205" s="6"/>
      <c r="H205" s="6"/>
    </row>
    <row r="206" spans="1:8" ht="15.75" customHeight="1" x14ac:dyDescent="0.2">
      <c r="A206" s="1">
        <v>182</v>
      </c>
      <c r="B206" s="6">
        <v>0.57499999999999996</v>
      </c>
      <c r="C206" s="6">
        <v>-0.57499999999999996</v>
      </c>
      <c r="D206" s="6"/>
      <c r="E206" s="6"/>
      <c r="F206" s="6"/>
      <c r="G206" s="6"/>
      <c r="H206" s="6"/>
    </row>
    <row r="207" spans="1:8" ht="15.75" customHeight="1" x14ac:dyDescent="0.2">
      <c r="A207" s="1">
        <v>183</v>
      </c>
      <c r="B207" s="6">
        <v>0.57499999999999996</v>
      </c>
      <c r="C207" s="6">
        <v>0.42500000000000004</v>
      </c>
      <c r="D207" s="6"/>
      <c r="E207" s="6"/>
      <c r="F207" s="6"/>
      <c r="G207" s="6"/>
      <c r="H207" s="6"/>
    </row>
    <row r="208" spans="1:8" ht="15.75" customHeight="1" x14ac:dyDescent="0.2">
      <c r="A208" s="1">
        <v>184</v>
      </c>
      <c r="B208" s="6">
        <v>0.42975206611570249</v>
      </c>
      <c r="C208" s="6">
        <v>0.57024793388429751</v>
      </c>
      <c r="D208" s="6"/>
      <c r="E208" s="6"/>
      <c r="F208" s="6"/>
      <c r="G208" s="6"/>
      <c r="H208" s="6"/>
    </row>
    <row r="209" spans="1:8" ht="15.75" customHeight="1" x14ac:dyDescent="0.2">
      <c r="A209" s="1">
        <v>185</v>
      </c>
      <c r="B209" s="6">
        <v>0.57499999999999996</v>
      </c>
      <c r="C209" s="6">
        <v>-0.57499999999999996</v>
      </c>
      <c r="D209" s="6"/>
      <c r="E209" s="6"/>
      <c r="F209" s="6"/>
      <c r="G209" s="6"/>
      <c r="H209" s="6"/>
    </row>
    <row r="210" spans="1:8" ht="15.75" customHeight="1" x14ac:dyDescent="0.2">
      <c r="A210" s="1">
        <v>186</v>
      </c>
      <c r="B210" s="6">
        <v>0.57499999999999996</v>
      </c>
      <c r="C210" s="6">
        <v>0.42500000000000004</v>
      </c>
      <c r="D210" s="6"/>
      <c r="E210" s="6"/>
      <c r="F210" s="6"/>
      <c r="G210" s="6"/>
      <c r="H210" s="6"/>
    </row>
    <row r="211" spans="1:8" ht="15.75" customHeight="1" x14ac:dyDescent="0.2">
      <c r="A211" s="1">
        <v>187</v>
      </c>
      <c r="B211" s="6">
        <v>0.57499999999999996</v>
      </c>
      <c r="C211" s="6">
        <v>-0.57499999999999996</v>
      </c>
      <c r="D211" s="6"/>
      <c r="E211" s="6"/>
      <c r="F211" s="6"/>
      <c r="G211" s="6"/>
      <c r="H211" s="6"/>
    </row>
    <row r="212" spans="1:8" ht="15.75" customHeight="1" x14ac:dyDescent="0.2">
      <c r="A212" s="1">
        <v>188</v>
      </c>
      <c r="B212" s="6">
        <v>0.42975206611570249</v>
      </c>
      <c r="C212" s="6">
        <v>-0.42975206611570249</v>
      </c>
      <c r="D212" s="6"/>
      <c r="E212" s="6"/>
      <c r="F212" s="6"/>
      <c r="G212" s="6"/>
      <c r="H212" s="6"/>
    </row>
    <row r="213" spans="1:8" ht="15.75" customHeight="1" x14ac:dyDescent="0.2">
      <c r="A213" s="1">
        <v>189</v>
      </c>
      <c r="B213" s="6">
        <v>0.42975206611570249</v>
      </c>
      <c r="C213" s="6">
        <v>0.57024793388429751</v>
      </c>
      <c r="D213" s="6"/>
      <c r="E213" s="6"/>
      <c r="F213" s="6"/>
      <c r="G213" s="6"/>
      <c r="H213" s="6"/>
    </row>
    <row r="214" spans="1:8" ht="15.75" customHeight="1" x14ac:dyDescent="0.2">
      <c r="A214" s="1">
        <v>190</v>
      </c>
      <c r="B214" s="6">
        <v>0.57499999999999996</v>
      </c>
      <c r="C214" s="6">
        <v>0.42500000000000004</v>
      </c>
      <c r="D214" s="6"/>
      <c r="E214" s="6"/>
      <c r="F214" s="6"/>
      <c r="G214" s="6"/>
      <c r="H214" s="6"/>
    </row>
    <row r="215" spans="1:8" ht="15.75" customHeight="1" x14ac:dyDescent="0.2">
      <c r="A215" s="1">
        <v>191</v>
      </c>
      <c r="B215" s="6">
        <v>0.57499999999999996</v>
      </c>
      <c r="C215" s="6">
        <v>0.42500000000000004</v>
      </c>
      <c r="D215" s="6"/>
      <c r="E215" s="6"/>
      <c r="F215" s="6"/>
      <c r="G215" s="6"/>
      <c r="H215" s="6"/>
    </row>
    <row r="216" spans="1:8" ht="15.75" customHeight="1" x14ac:dyDescent="0.2">
      <c r="A216" s="1">
        <v>192</v>
      </c>
      <c r="B216" s="6">
        <v>0.42975206611570249</v>
      </c>
      <c r="C216" s="6">
        <v>0.57024793388429751</v>
      </c>
      <c r="D216" s="6"/>
      <c r="E216" s="6"/>
      <c r="F216" s="6"/>
      <c r="G216" s="6"/>
      <c r="H216" s="6"/>
    </row>
    <row r="217" spans="1:8" ht="15.75" customHeight="1" x14ac:dyDescent="0.2">
      <c r="A217" s="1">
        <v>193</v>
      </c>
      <c r="B217" s="6">
        <v>0.57499999999999996</v>
      </c>
      <c r="C217" s="6">
        <v>0.42500000000000004</v>
      </c>
      <c r="D217" s="6"/>
      <c r="E217" s="6"/>
      <c r="F217" s="6"/>
      <c r="G217" s="6"/>
      <c r="H217" s="6"/>
    </row>
    <row r="218" spans="1:8" ht="15.75" customHeight="1" x14ac:dyDescent="0.2">
      <c r="A218" s="1">
        <v>194</v>
      </c>
      <c r="B218" s="6">
        <v>0.42975206611570249</v>
      </c>
      <c r="C218" s="6">
        <v>0.57024793388429751</v>
      </c>
      <c r="D218" s="6"/>
      <c r="E218" s="6"/>
      <c r="F218" s="6"/>
      <c r="G218" s="6"/>
      <c r="H218" s="6"/>
    </row>
    <row r="219" spans="1:8" ht="15.75" customHeight="1" x14ac:dyDescent="0.2">
      <c r="A219" s="1">
        <v>195</v>
      </c>
      <c r="B219" s="6">
        <v>0.57499999999999996</v>
      </c>
      <c r="C219" s="6">
        <v>0.42500000000000004</v>
      </c>
      <c r="D219" s="6"/>
      <c r="E219" s="6"/>
      <c r="F219" s="6"/>
      <c r="G219" s="6"/>
      <c r="H219" s="6"/>
    </row>
    <row r="220" spans="1:8" ht="15.75" customHeight="1" x14ac:dyDescent="0.2">
      <c r="A220" s="1">
        <v>196</v>
      </c>
      <c r="B220" s="6">
        <v>0.42975206611570249</v>
      </c>
      <c r="C220" s="6">
        <v>0.57024793388429751</v>
      </c>
      <c r="D220" s="6"/>
      <c r="E220" s="6"/>
      <c r="F220" s="6"/>
      <c r="G220" s="6"/>
      <c r="H220" s="6"/>
    </row>
    <row r="221" spans="1:8" ht="15.75" customHeight="1" x14ac:dyDescent="0.2">
      <c r="A221" s="1">
        <v>197</v>
      </c>
      <c r="B221" s="6">
        <v>0.57499999999999996</v>
      </c>
      <c r="C221" s="6">
        <v>0.42500000000000004</v>
      </c>
      <c r="D221" s="6"/>
      <c r="E221" s="6"/>
      <c r="F221" s="6"/>
      <c r="G221" s="6"/>
      <c r="H221" s="6"/>
    </row>
    <row r="222" spans="1:8" ht="15.75" customHeight="1" x14ac:dyDescent="0.2">
      <c r="A222" s="1">
        <v>198</v>
      </c>
      <c r="B222" s="6">
        <v>0.42975206611570249</v>
      </c>
      <c r="C222" s="6">
        <v>0.57024793388429751</v>
      </c>
      <c r="D222" s="6"/>
      <c r="E222" s="6"/>
      <c r="F222" s="6"/>
      <c r="G222" s="6"/>
      <c r="H222" s="6"/>
    </row>
    <row r="223" spans="1:8" ht="15.75" customHeight="1" x14ac:dyDescent="0.2">
      <c r="A223" s="1">
        <v>199</v>
      </c>
      <c r="B223" s="6">
        <v>0.57499999999999996</v>
      </c>
      <c r="C223" s="6">
        <v>0.42500000000000004</v>
      </c>
      <c r="D223" s="6"/>
      <c r="E223" s="6"/>
      <c r="F223" s="6"/>
      <c r="G223" s="6"/>
      <c r="H223" s="6"/>
    </row>
    <row r="224" spans="1:8" ht="15.75" customHeight="1" x14ac:dyDescent="0.2">
      <c r="A224" s="1">
        <v>200</v>
      </c>
      <c r="B224" s="6">
        <v>0.57499999999999996</v>
      </c>
      <c r="C224" s="6">
        <v>0.42500000000000004</v>
      </c>
      <c r="D224" s="6"/>
      <c r="E224" s="6"/>
      <c r="F224" s="6"/>
      <c r="G224" s="6"/>
      <c r="H224" s="6"/>
    </row>
    <row r="225" spans="1:8" ht="15.75" customHeight="1" x14ac:dyDescent="0.2">
      <c r="A225" s="1">
        <v>201</v>
      </c>
      <c r="B225" s="6">
        <v>0.42975206611570249</v>
      </c>
      <c r="C225" s="6">
        <v>0.57024793388429751</v>
      </c>
      <c r="D225" s="6"/>
      <c r="E225" s="6"/>
      <c r="F225" s="6"/>
      <c r="G225" s="6"/>
      <c r="H225" s="6"/>
    </row>
    <row r="226" spans="1:8" ht="15.75" customHeight="1" x14ac:dyDescent="0.2">
      <c r="A226" s="1">
        <v>202</v>
      </c>
      <c r="B226" s="6">
        <v>0.57499999999999996</v>
      </c>
      <c r="C226" s="6">
        <v>-0.57499999999999996</v>
      </c>
      <c r="D226" s="6"/>
      <c r="E226" s="6"/>
      <c r="F226" s="6"/>
      <c r="G226" s="6"/>
      <c r="H226" s="6"/>
    </row>
    <row r="227" spans="1:8" ht="15.75" customHeight="1" x14ac:dyDescent="0.2">
      <c r="A227" s="1">
        <v>203</v>
      </c>
      <c r="B227" s="6">
        <v>0.42975206611570249</v>
      </c>
      <c r="C227" s="6">
        <v>0.57024793388429751</v>
      </c>
      <c r="D227" s="6"/>
      <c r="E227" s="6"/>
      <c r="F227" s="6"/>
      <c r="G227" s="6"/>
      <c r="H227" s="6"/>
    </row>
    <row r="228" spans="1:8" ht="15.75" customHeight="1" x14ac:dyDescent="0.2">
      <c r="A228" s="1">
        <v>204</v>
      </c>
      <c r="B228" s="6">
        <v>0.57499999999999996</v>
      </c>
      <c r="C228" s="6">
        <v>0.42500000000000004</v>
      </c>
      <c r="D228" s="6"/>
      <c r="E228" s="6"/>
      <c r="F228" s="6"/>
      <c r="G228" s="6"/>
      <c r="H228" s="6"/>
    </row>
    <row r="229" spans="1:8" ht="15.75" customHeight="1" x14ac:dyDescent="0.2">
      <c r="A229" s="1">
        <v>205</v>
      </c>
      <c r="B229" s="6">
        <v>0.42975206611570249</v>
      </c>
      <c r="C229" s="6">
        <v>0.57024793388429751</v>
      </c>
      <c r="D229" s="6"/>
      <c r="E229" s="6"/>
      <c r="F229" s="6"/>
      <c r="G229" s="6"/>
      <c r="H229" s="6"/>
    </row>
    <row r="230" spans="1:8" ht="15.75" customHeight="1" x14ac:dyDescent="0.2">
      <c r="A230" s="1">
        <v>206</v>
      </c>
      <c r="B230" s="6">
        <v>0.57499999999999996</v>
      </c>
      <c r="C230" s="6">
        <v>0.42500000000000004</v>
      </c>
      <c r="D230" s="6"/>
      <c r="E230" s="6"/>
      <c r="F230" s="6"/>
      <c r="G230" s="6"/>
      <c r="H230" s="6"/>
    </row>
    <row r="231" spans="1:8" ht="15.75" customHeight="1" x14ac:dyDescent="0.2">
      <c r="A231" s="1">
        <v>207</v>
      </c>
      <c r="B231" s="6">
        <v>0.57499999999999996</v>
      </c>
      <c r="C231" s="6">
        <v>-0.57499999999999996</v>
      </c>
      <c r="D231" s="6"/>
      <c r="E231" s="6"/>
      <c r="F231" s="6"/>
      <c r="G231" s="6"/>
      <c r="H231" s="6"/>
    </row>
    <row r="232" spans="1:8" ht="15.75" customHeight="1" x14ac:dyDescent="0.2">
      <c r="A232" s="1">
        <v>208</v>
      </c>
      <c r="B232" s="6">
        <v>0.42975206611570249</v>
      </c>
      <c r="C232" s="6">
        <v>-0.42975206611570249</v>
      </c>
      <c r="D232" s="6"/>
      <c r="E232" s="6"/>
      <c r="F232" s="6"/>
      <c r="G232" s="6"/>
      <c r="H232" s="6"/>
    </row>
    <row r="233" spans="1:8" ht="15.75" customHeight="1" x14ac:dyDescent="0.2">
      <c r="A233" s="1">
        <v>209</v>
      </c>
      <c r="B233" s="6">
        <v>0.42975206611570249</v>
      </c>
      <c r="C233" s="6">
        <v>0.57024793388429751</v>
      </c>
      <c r="D233" s="6"/>
      <c r="E233" s="6"/>
      <c r="F233" s="6"/>
      <c r="G233" s="6"/>
      <c r="H233" s="6"/>
    </row>
    <row r="234" spans="1:8" ht="15.75" customHeight="1" x14ac:dyDescent="0.2">
      <c r="A234" s="1">
        <v>210</v>
      </c>
      <c r="B234" s="6">
        <v>0.57499999999999996</v>
      </c>
      <c r="C234" s="6">
        <v>0.42500000000000004</v>
      </c>
      <c r="D234" s="6"/>
      <c r="E234" s="6"/>
      <c r="F234" s="6"/>
      <c r="G234" s="6"/>
      <c r="H234" s="6"/>
    </row>
    <row r="235" spans="1:8" ht="15.75" customHeight="1" x14ac:dyDescent="0.2">
      <c r="A235" s="1">
        <v>211</v>
      </c>
      <c r="B235" s="6">
        <v>0.42975206611570249</v>
      </c>
      <c r="C235" s="6">
        <v>0.57024793388429751</v>
      </c>
      <c r="D235" s="6"/>
      <c r="E235" s="6"/>
      <c r="F235" s="6"/>
      <c r="G235" s="6"/>
      <c r="H235" s="6"/>
    </row>
    <row r="236" spans="1:8" ht="15.75" customHeight="1" x14ac:dyDescent="0.2">
      <c r="A236" s="1">
        <v>212</v>
      </c>
      <c r="B236" s="6">
        <v>0.57499999999999996</v>
      </c>
      <c r="C236" s="6">
        <v>0.42500000000000004</v>
      </c>
      <c r="D236" s="6"/>
      <c r="E236" s="6"/>
      <c r="F236" s="6"/>
      <c r="G236" s="6"/>
      <c r="H236" s="6"/>
    </row>
    <row r="237" spans="1:8" ht="15.75" customHeight="1" x14ac:dyDescent="0.2">
      <c r="A237" s="1">
        <v>213</v>
      </c>
      <c r="B237" s="6">
        <v>0.42975206611570249</v>
      </c>
      <c r="C237" s="6">
        <v>-0.42975206611570249</v>
      </c>
      <c r="D237" s="6"/>
      <c r="E237" s="6"/>
      <c r="F237" s="6"/>
      <c r="G237" s="6"/>
      <c r="H237" s="6"/>
    </row>
    <row r="238" spans="1:8" ht="15.75" customHeight="1" x14ac:dyDescent="0.2">
      <c r="A238" s="1">
        <v>214</v>
      </c>
      <c r="B238" s="6">
        <v>0.57499999999999996</v>
      </c>
      <c r="C238" s="6">
        <v>0.42500000000000004</v>
      </c>
      <c r="D238" s="6"/>
      <c r="E238" s="6"/>
      <c r="F238" s="6"/>
      <c r="G238" s="6"/>
      <c r="H238" s="6"/>
    </row>
    <row r="239" spans="1:8" ht="15.75" customHeight="1" x14ac:dyDescent="0.2">
      <c r="A239" s="1">
        <v>215</v>
      </c>
      <c r="B239" s="6">
        <v>0.42975206611570249</v>
      </c>
      <c r="C239" s="6">
        <v>-0.42975206611570249</v>
      </c>
      <c r="D239" s="6"/>
      <c r="E239" s="6"/>
      <c r="F239" s="6"/>
      <c r="G239" s="6"/>
      <c r="H239" s="6"/>
    </row>
    <row r="240" spans="1:8" ht="15.75" customHeight="1" x14ac:dyDescent="0.2">
      <c r="A240" s="1">
        <v>216</v>
      </c>
      <c r="B240" s="6">
        <v>0.57499999999999996</v>
      </c>
      <c r="C240" s="6">
        <v>-0.57499999999999996</v>
      </c>
      <c r="D240" s="6"/>
      <c r="E240" s="6"/>
      <c r="F240" s="6"/>
      <c r="G240" s="6"/>
      <c r="H240" s="6"/>
    </row>
    <row r="241" spans="1:8" ht="15.75" customHeight="1" x14ac:dyDescent="0.2">
      <c r="A241" s="1">
        <v>217</v>
      </c>
      <c r="B241" s="6">
        <v>0.42975206611570249</v>
      </c>
      <c r="C241" s="6">
        <v>0.57024793388429751</v>
      </c>
      <c r="D241" s="6"/>
      <c r="E241" s="6"/>
      <c r="F241" s="6"/>
      <c r="G241" s="6"/>
      <c r="H241" s="6"/>
    </row>
    <row r="242" spans="1:8" ht="15.75" customHeight="1" x14ac:dyDescent="0.2">
      <c r="A242" s="1">
        <v>218</v>
      </c>
      <c r="B242" s="6">
        <v>0.42975206611570249</v>
      </c>
      <c r="C242" s="6">
        <v>-0.42975206611570249</v>
      </c>
      <c r="D242" s="6"/>
      <c r="E242" s="6"/>
      <c r="F242" s="6"/>
      <c r="G242" s="6"/>
      <c r="H242" s="6"/>
    </row>
    <row r="243" spans="1:8" ht="15.75" customHeight="1" x14ac:dyDescent="0.2">
      <c r="A243" s="1">
        <v>219</v>
      </c>
      <c r="B243" s="6">
        <v>0.57499999999999996</v>
      </c>
      <c r="C243" s="6">
        <v>0.42500000000000004</v>
      </c>
      <c r="D243" s="6"/>
      <c r="E243" s="6"/>
      <c r="F243" s="6"/>
      <c r="G243" s="6"/>
      <c r="H243" s="6"/>
    </row>
    <row r="244" spans="1:8" ht="15.75" customHeight="1" x14ac:dyDescent="0.2">
      <c r="A244" s="1">
        <v>220</v>
      </c>
      <c r="B244" s="6">
        <v>0.42975206611570249</v>
      </c>
      <c r="C244" s="6">
        <v>-0.42975206611570249</v>
      </c>
      <c r="D244" s="6"/>
      <c r="E244" s="6"/>
      <c r="F244" s="6"/>
      <c r="G244" s="6"/>
      <c r="H244" s="6"/>
    </row>
    <row r="245" spans="1:8" ht="15.75" customHeight="1" x14ac:dyDescent="0.2">
      <c r="A245" s="1">
        <v>221</v>
      </c>
      <c r="B245" s="6">
        <v>0.57499999999999996</v>
      </c>
      <c r="C245" s="6">
        <v>-0.57499999999999996</v>
      </c>
      <c r="D245" s="6"/>
      <c r="E245" s="6"/>
      <c r="F245" s="6"/>
      <c r="G245" s="6"/>
      <c r="H245" s="6"/>
    </row>
    <row r="246" spans="1:8" ht="15.75" customHeight="1" x14ac:dyDescent="0.2">
      <c r="A246" s="1">
        <v>222</v>
      </c>
      <c r="B246" s="6">
        <v>0.42975206611570249</v>
      </c>
      <c r="C246" s="6">
        <v>0.57024793388429751</v>
      </c>
      <c r="D246" s="6"/>
      <c r="E246" s="6"/>
      <c r="F246" s="6"/>
      <c r="G246" s="6"/>
      <c r="H246" s="6"/>
    </row>
    <row r="247" spans="1:8" ht="15.75" customHeight="1" x14ac:dyDescent="0.2">
      <c r="A247" s="1">
        <v>223</v>
      </c>
      <c r="B247" s="6">
        <v>0.42975206611570249</v>
      </c>
      <c r="C247" s="6">
        <v>0.57024793388429751</v>
      </c>
      <c r="D247" s="6"/>
      <c r="E247" s="6"/>
      <c r="F247" s="6"/>
      <c r="G247" s="6"/>
      <c r="H247" s="6"/>
    </row>
    <row r="248" spans="1:8" ht="15.75" customHeight="1" x14ac:dyDescent="0.2">
      <c r="A248" s="1">
        <v>224</v>
      </c>
      <c r="B248" s="6">
        <v>0.57499999999999996</v>
      </c>
      <c r="C248" s="6">
        <v>-0.57499999999999996</v>
      </c>
      <c r="D248" s="6"/>
      <c r="E248" s="6"/>
      <c r="F248" s="6"/>
      <c r="G248" s="6"/>
      <c r="H248" s="6"/>
    </row>
    <row r="249" spans="1:8" ht="15.75" customHeight="1" x14ac:dyDescent="0.2">
      <c r="A249" s="1">
        <v>225</v>
      </c>
      <c r="B249" s="6">
        <v>0.42975206611570249</v>
      </c>
      <c r="C249" s="6">
        <v>-0.42975206611570249</v>
      </c>
      <c r="D249" s="6"/>
      <c r="E249" s="6"/>
      <c r="F249" s="6"/>
      <c r="G249" s="6"/>
      <c r="H249" s="6"/>
    </row>
    <row r="250" spans="1:8" ht="15.75" customHeight="1" x14ac:dyDescent="0.2">
      <c r="A250" s="1">
        <v>226</v>
      </c>
      <c r="B250" s="6">
        <v>0.57499999999999996</v>
      </c>
      <c r="C250" s="6">
        <v>-0.57499999999999996</v>
      </c>
      <c r="D250" s="6"/>
      <c r="E250" s="6"/>
      <c r="F250" s="6"/>
      <c r="G250" s="6"/>
      <c r="H250" s="6"/>
    </row>
    <row r="251" spans="1:8" ht="15.75" customHeight="1" x14ac:dyDescent="0.2">
      <c r="A251" s="1">
        <v>227</v>
      </c>
      <c r="B251" s="6">
        <v>0.57499999999999996</v>
      </c>
      <c r="C251" s="6">
        <v>0.42500000000000004</v>
      </c>
      <c r="D251" s="6"/>
      <c r="E251" s="6"/>
      <c r="F251" s="6"/>
      <c r="G251" s="6"/>
      <c r="H251" s="6"/>
    </row>
    <row r="252" spans="1:8" ht="15.75" customHeight="1" x14ac:dyDescent="0.2">
      <c r="A252" s="1">
        <v>228</v>
      </c>
      <c r="B252" s="6">
        <v>0.42975206611570249</v>
      </c>
      <c r="C252" s="6">
        <v>0.57024793388429751</v>
      </c>
      <c r="D252" s="6"/>
      <c r="E252" s="6"/>
      <c r="F252" s="6"/>
      <c r="G252" s="6"/>
      <c r="H252" s="6"/>
    </row>
    <row r="253" spans="1:8" ht="15.75" customHeight="1" x14ac:dyDescent="0.2">
      <c r="A253" s="1">
        <v>229</v>
      </c>
      <c r="B253" s="6">
        <v>0.57499999999999996</v>
      </c>
      <c r="C253" s="6">
        <v>0.42500000000000004</v>
      </c>
      <c r="D253" s="6"/>
      <c r="E253" s="6"/>
      <c r="F253" s="6"/>
      <c r="G253" s="6"/>
      <c r="H253" s="6"/>
    </row>
    <row r="254" spans="1:8" ht="15.75" customHeight="1" x14ac:dyDescent="0.2">
      <c r="A254" s="1">
        <v>230</v>
      </c>
      <c r="B254" s="6">
        <v>0.42975206611570249</v>
      </c>
      <c r="C254" s="6">
        <v>-0.42975206611570249</v>
      </c>
      <c r="D254" s="6"/>
      <c r="E254" s="6"/>
      <c r="F254" s="6"/>
      <c r="G254" s="6"/>
      <c r="H254" s="6"/>
    </row>
    <row r="255" spans="1:8" ht="15.75" customHeight="1" x14ac:dyDescent="0.2">
      <c r="A255" s="1">
        <v>231</v>
      </c>
      <c r="B255" s="6">
        <v>0.57499999999999996</v>
      </c>
      <c r="C255" s="6">
        <v>0.42500000000000004</v>
      </c>
      <c r="D255" s="6"/>
      <c r="E255" s="6"/>
      <c r="F255" s="6"/>
      <c r="G255" s="6"/>
      <c r="H255" s="6"/>
    </row>
    <row r="256" spans="1:8" ht="15.75" customHeight="1" x14ac:dyDescent="0.2">
      <c r="A256" s="1">
        <v>232</v>
      </c>
      <c r="B256" s="6">
        <v>0.57499999999999996</v>
      </c>
      <c r="C256" s="6">
        <v>0.42500000000000004</v>
      </c>
      <c r="D256" s="6"/>
      <c r="E256" s="6"/>
      <c r="F256" s="6"/>
      <c r="G256" s="6"/>
      <c r="H256" s="6"/>
    </row>
    <row r="257" spans="1:8" ht="15.75" customHeight="1" x14ac:dyDescent="0.2">
      <c r="A257" s="1">
        <v>233</v>
      </c>
      <c r="B257" s="6">
        <v>0.42975206611570249</v>
      </c>
      <c r="C257" s="6">
        <v>0.57024793388429751</v>
      </c>
      <c r="D257" s="6"/>
      <c r="E257" s="6"/>
      <c r="F257" s="6"/>
      <c r="G257" s="6"/>
      <c r="H257" s="6"/>
    </row>
    <row r="258" spans="1:8" ht="15.75" customHeight="1" x14ac:dyDescent="0.2">
      <c r="A258" s="1">
        <v>234</v>
      </c>
      <c r="B258" s="6">
        <v>0.57499999999999996</v>
      </c>
      <c r="C258" s="6">
        <v>0.42500000000000004</v>
      </c>
      <c r="D258" s="6"/>
      <c r="E258" s="6"/>
      <c r="F258" s="6"/>
      <c r="G258" s="6"/>
      <c r="H258" s="6"/>
    </row>
    <row r="259" spans="1:8" ht="15.75" customHeight="1" x14ac:dyDescent="0.2">
      <c r="A259" s="1">
        <v>235</v>
      </c>
      <c r="B259" s="6">
        <v>0.57499999999999996</v>
      </c>
      <c r="C259" s="6">
        <v>-0.57499999999999996</v>
      </c>
      <c r="D259" s="6"/>
      <c r="E259" s="6"/>
      <c r="F259" s="6"/>
      <c r="G259" s="6"/>
      <c r="H259" s="6"/>
    </row>
    <row r="260" spans="1:8" ht="15.75" customHeight="1" x14ac:dyDescent="0.2">
      <c r="A260" s="1">
        <v>236</v>
      </c>
      <c r="B260" s="6">
        <v>0.42975206611570249</v>
      </c>
      <c r="C260" s="6">
        <v>-0.42975206611570249</v>
      </c>
      <c r="D260" s="6"/>
      <c r="E260" s="6"/>
      <c r="F260" s="6"/>
      <c r="G260" s="6"/>
      <c r="H260" s="6"/>
    </row>
    <row r="261" spans="1:8" ht="15.75" customHeight="1" x14ac:dyDescent="0.2">
      <c r="A261" s="1">
        <v>237</v>
      </c>
      <c r="B261" s="6">
        <v>0.57499999999999996</v>
      </c>
      <c r="C261" s="6">
        <v>0.42500000000000004</v>
      </c>
      <c r="D261" s="6"/>
      <c r="E261" s="6"/>
      <c r="F261" s="6"/>
      <c r="G261" s="6"/>
      <c r="H261" s="6"/>
    </row>
    <row r="262" spans="1:8" ht="15.75" customHeight="1" x14ac:dyDescent="0.2">
      <c r="A262" s="1">
        <v>238</v>
      </c>
      <c r="B262" s="6">
        <v>0.42975206611570249</v>
      </c>
      <c r="C262" s="6">
        <v>-0.42975206611570249</v>
      </c>
      <c r="D262" s="6"/>
      <c r="E262" s="6"/>
      <c r="F262" s="6"/>
      <c r="G262" s="6"/>
      <c r="H262" s="6"/>
    </row>
    <row r="263" spans="1:8" ht="15.75" customHeight="1" x14ac:dyDescent="0.2">
      <c r="A263" s="1">
        <v>239</v>
      </c>
      <c r="B263" s="6">
        <v>0.57499999999999996</v>
      </c>
      <c r="C263" s="6">
        <v>0.42500000000000004</v>
      </c>
      <c r="D263" s="6"/>
      <c r="E263" s="6"/>
      <c r="F263" s="6"/>
      <c r="G263" s="6"/>
      <c r="H263" s="6"/>
    </row>
    <row r="264" spans="1:8" ht="15.75" customHeight="1" x14ac:dyDescent="0.2">
      <c r="A264" s="1">
        <v>240</v>
      </c>
      <c r="B264" s="6">
        <v>0.42975206611570249</v>
      </c>
      <c r="C264" s="6">
        <v>-0.42975206611570249</v>
      </c>
      <c r="D264" s="6"/>
      <c r="E264" s="6"/>
      <c r="F264" s="6"/>
      <c r="G264" s="6"/>
      <c r="H264" s="6"/>
    </row>
    <row r="265" spans="1:8" ht="15.75" customHeight="1" x14ac:dyDescent="0.2">
      <c r="A265" s="7">
        <v>241</v>
      </c>
      <c r="B265" s="8">
        <v>0.57499999999999996</v>
      </c>
      <c r="C265" s="8">
        <v>0.42500000000000004</v>
      </c>
      <c r="D265" s="6"/>
      <c r="E265" s="6"/>
      <c r="F265" s="6"/>
      <c r="G265" s="6"/>
      <c r="H265" s="6"/>
    </row>
    <row r="266" spans="1:8" ht="15.75" customHeight="1" x14ac:dyDescent="0.2"/>
    <row r="267" spans="1:8" ht="15.75" customHeight="1" x14ac:dyDescent="0.2"/>
    <row r="268" spans="1:8" ht="15.75" customHeight="1" x14ac:dyDescent="0.2"/>
    <row r="269" spans="1:8" ht="15.75" customHeight="1" x14ac:dyDescent="0.2"/>
    <row r="270" spans="1:8" ht="15.75" customHeight="1" x14ac:dyDescent="0.2"/>
    <row r="271" spans="1:8" ht="15.75" customHeight="1" x14ac:dyDescent="0.2"/>
    <row r="272" spans="1:8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3:B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99"/>
  <sheetViews>
    <sheetView tabSelected="1" topLeftCell="A598" workbookViewId="0">
      <selection activeCell="C614" sqref="C614"/>
    </sheetView>
  </sheetViews>
  <sheetFormatPr defaultColWidth="14.390625" defaultRowHeight="15" customHeight="1" x14ac:dyDescent="0.2"/>
  <cols>
    <col min="1" max="1" width="10.76171875" customWidth="1"/>
    <col min="2" max="2" width="8.7421875" customWidth="1"/>
    <col min="3" max="3" width="13.31640625" customWidth="1"/>
    <col min="4" max="4" width="12.23828125" customWidth="1"/>
    <col min="5" max="5" width="10.76171875" customWidth="1"/>
    <col min="6" max="6" width="13.5859375" customWidth="1"/>
    <col min="7" max="7" width="17.3515625" customWidth="1"/>
    <col min="8" max="8" width="8.7421875" customWidth="1"/>
    <col min="9" max="9" width="19.234375" customWidth="1"/>
    <col min="10" max="10" width="16.54296875" customWidth="1"/>
    <col min="11" max="11" width="8.7421875" customWidth="1"/>
    <col min="12" max="12" width="16.94921875" customWidth="1"/>
    <col min="13" max="13" width="8.7421875" customWidth="1"/>
    <col min="14" max="16" width="16.140625" customWidth="1"/>
    <col min="17" max="37" width="8.7421875" customWidth="1"/>
  </cols>
  <sheetData>
    <row r="1" spans="1:17" x14ac:dyDescent="0.2">
      <c r="A1" s="10" t="s">
        <v>46</v>
      </c>
      <c r="B1" s="10" t="s">
        <v>47</v>
      </c>
      <c r="C1" s="10" t="s">
        <v>48</v>
      </c>
      <c r="D1" s="10" t="s">
        <v>10</v>
      </c>
      <c r="E1" s="10" t="s">
        <v>9</v>
      </c>
      <c r="F1" s="10" t="s">
        <v>0</v>
      </c>
      <c r="G1" s="10" t="s">
        <v>11</v>
      </c>
      <c r="H1" s="10" t="s">
        <v>1</v>
      </c>
      <c r="I1" s="10" t="s">
        <v>49</v>
      </c>
      <c r="L1" s="2" t="s">
        <v>50</v>
      </c>
      <c r="M1" s="2" t="s">
        <v>51</v>
      </c>
      <c r="N1" s="2" t="s">
        <v>52</v>
      </c>
      <c r="O1" s="2" t="s">
        <v>41</v>
      </c>
    </row>
    <row r="2" spans="1:17" x14ac:dyDescent="0.2">
      <c r="A2" s="11">
        <v>42835</v>
      </c>
      <c r="B2" s="12">
        <v>1</v>
      </c>
      <c r="C2" s="10" t="s">
        <v>53</v>
      </c>
      <c r="D2" s="10" t="s">
        <v>7</v>
      </c>
      <c r="E2" s="10">
        <v>0</v>
      </c>
      <c r="F2" s="10" t="s">
        <v>5</v>
      </c>
      <c r="G2" s="10">
        <v>0</v>
      </c>
      <c r="H2" s="10" t="s">
        <v>7</v>
      </c>
      <c r="I2" s="10">
        <v>3</v>
      </c>
      <c r="M2" s="13">
        <f>N2/Sheet1!$B2</f>
        <v>0</v>
      </c>
      <c r="N2" s="2">
        <f>E2</f>
        <v>0</v>
      </c>
      <c r="O2" s="2">
        <f>IF(Sheet1!$H2="ted",1,0)</f>
        <v>0</v>
      </c>
      <c r="P2" s="16">
        <f>SUMIF(O2:O200,1,Sheet1!$E$2:$E$613)</f>
        <v>54</v>
      </c>
      <c r="Q2" s="16">
        <f>SUMIF(O2:O200,0,Sheet1!$E$2:$E$613)</f>
        <v>42</v>
      </c>
    </row>
    <row r="3" spans="1:17" x14ac:dyDescent="0.2">
      <c r="A3" s="11">
        <v>42835</v>
      </c>
      <c r="B3" s="12">
        <v>2</v>
      </c>
      <c r="C3" s="10" t="s">
        <v>53</v>
      </c>
      <c r="D3" s="10" t="s">
        <v>7</v>
      </c>
      <c r="E3" s="10">
        <v>0</v>
      </c>
      <c r="F3" s="10" t="s">
        <v>3</v>
      </c>
      <c r="G3" s="10">
        <v>4</v>
      </c>
      <c r="H3" s="10" t="s">
        <v>8</v>
      </c>
      <c r="I3" s="10">
        <v>0</v>
      </c>
      <c r="M3" s="13">
        <f>N3/Sheet1!$B3</f>
        <v>0</v>
      </c>
      <c r="N3" s="2">
        <f t="shared" ref="N3:N548" si="0">E3+N2</f>
        <v>0</v>
      </c>
      <c r="O3" s="2">
        <f>IF(Sheet1!$H3="ted",1,0)</f>
        <v>1</v>
      </c>
    </row>
    <row r="4" spans="1:17" x14ac:dyDescent="0.2">
      <c r="A4" s="11">
        <v>42835</v>
      </c>
      <c r="B4" s="12">
        <v>3</v>
      </c>
      <c r="C4" s="10" t="s">
        <v>53</v>
      </c>
      <c r="D4" s="10" t="s">
        <v>7</v>
      </c>
      <c r="E4" s="10">
        <v>1</v>
      </c>
      <c r="F4" s="10" t="s">
        <v>2</v>
      </c>
      <c r="G4" s="10">
        <v>3</v>
      </c>
      <c r="H4" s="10" t="s">
        <v>7</v>
      </c>
      <c r="I4" s="10">
        <v>4</v>
      </c>
      <c r="J4" s="2" t="s">
        <v>54</v>
      </c>
      <c r="M4" s="13">
        <f>N4/Sheet1!$B4</f>
        <v>0.33333333333333331</v>
      </c>
      <c r="N4" s="2">
        <f t="shared" si="0"/>
        <v>1</v>
      </c>
      <c r="O4" s="2">
        <f>IF(Sheet1!$H4="ted",1,0)</f>
        <v>0</v>
      </c>
    </row>
    <row r="5" spans="1:17" x14ac:dyDescent="0.2">
      <c r="A5" s="11">
        <v>42839</v>
      </c>
      <c r="B5" s="12">
        <v>4</v>
      </c>
      <c r="C5" s="10" t="s">
        <v>55</v>
      </c>
      <c r="D5" s="10" t="s">
        <v>56</v>
      </c>
      <c r="E5" s="10">
        <v>1</v>
      </c>
      <c r="F5" s="10" t="s">
        <v>5</v>
      </c>
      <c r="G5" s="10">
        <v>0</v>
      </c>
      <c r="H5" s="10" t="s">
        <v>57</v>
      </c>
      <c r="I5" s="10">
        <v>3</v>
      </c>
      <c r="M5" s="13">
        <f>N5/Sheet1!$B5</f>
        <v>0.5</v>
      </c>
      <c r="N5" s="2">
        <f t="shared" si="0"/>
        <v>2</v>
      </c>
      <c r="O5" s="2">
        <f>IF(Sheet1!$H5="ted",1,0)</f>
        <v>0</v>
      </c>
    </row>
    <row r="6" spans="1:17" x14ac:dyDescent="0.2">
      <c r="A6" s="11">
        <v>42839</v>
      </c>
      <c r="B6" s="12">
        <v>5</v>
      </c>
      <c r="C6" s="10" t="s">
        <v>55</v>
      </c>
      <c r="D6" s="10" t="s">
        <v>58</v>
      </c>
      <c r="E6" s="10">
        <v>1</v>
      </c>
      <c r="F6" s="10" t="s">
        <v>3</v>
      </c>
      <c r="G6" s="10">
        <v>2</v>
      </c>
      <c r="H6" s="10" t="s">
        <v>8</v>
      </c>
      <c r="I6" s="10">
        <v>0</v>
      </c>
      <c r="M6" s="13">
        <f>N6/Sheet1!$B6</f>
        <v>0.6</v>
      </c>
      <c r="N6" s="2">
        <f t="shared" si="0"/>
        <v>3</v>
      </c>
      <c r="O6" s="2">
        <f>IF(Sheet1!$H6="ted",1,0)</f>
        <v>1</v>
      </c>
    </row>
    <row r="7" spans="1:17" x14ac:dyDescent="0.2">
      <c r="A7" s="11">
        <v>42839</v>
      </c>
      <c r="B7" s="12">
        <v>6</v>
      </c>
      <c r="C7" s="10" t="s">
        <v>55</v>
      </c>
      <c r="D7" s="10" t="s">
        <v>58</v>
      </c>
      <c r="E7" s="10">
        <v>0</v>
      </c>
      <c r="F7" s="10" t="s">
        <v>2</v>
      </c>
      <c r="G7" s="10">
        <v>7</v>
      </c>
      <c r="H7" s="10" t="s">
        <v>59</v>
      </c>
      <c r="I7" s="10">
        <v>7</v>
      </c>
      <c r="M7" s="13">
        <f>N7/Sheet1!$B7</f>
        <v>0.5</v>
      </c>
      <c r="N7" s="2">
        <f t="shared" si="0"/>
        <v>3</v>
      </c>
      <c r="O7" s="2">
        <f>IF(Sheet1!$H7="ted",1,0)</f>
        <v>0</v>
      </c>
    </row>
    <row r="8" spans="1:17" x14ac:dyDescent="0.2">
      <c r="A8" s="11">
        <v>42839</v>
      </c>
      <c r="B8" s="12">
        <v>7</v>
      </c>
      <c r="C8" s="10" t="s">
        <v>55</v>
      </c>
      <c r="D8" s="10" t="s">
        <v>58</v>
      </c>
      <c r="E8" s="10">
        <v>0</v>
      </c>
      <c r="F8" s="10" t="s">
        <v>3</v>
      </c>
      <c r="G8" s="10">
        <v>1</v>
      </c>
      <c r="H8" s="10" t="s">
        <v>60</v>
      </c>
      <c r="I8" s="10">
        <v>0</v>
      </c>
      <c r="M8" s="13">
        <f>N8/Sheet1!$B8</f>
        <v>0.42857142857142855</v>
      </c>
      <c r="N8" s="2">
        <f t="shared" si="0"/>
        <v>3</v>
      </c>
      <c r="O8" s="2">
        <f>IF(Sheet1!$H8="ted",1,0)</f>
        <v>0</v>
      </c>
    </row>
    <row r="9" spans="1:17" x14ac:dyDescent="0.2">
      <c r="A9" s="11">
        <v>42839</v>
      </c>
      <c r="B9" s="12">
        <v>8</v>
      </c>
      <c r="C9" s="10" t="s">
        <v>55</v>
      </c>
      <c r="D9" s="10" t="s">
        <v>61</v>
      </c>
      <c r="E9" s="10">
        <v>0</v>
      </c>
      <c r="F9" s="10" t="s">
        <v>3</v>
      </c>
      <c r="G9" s="10">
        <v>1</v>
      </c>
      <c r="H9" s="10" t="s">
        <v>57</v>
      </c>
      <c r="I9" s="10">
        <v>0</v>
      </c>
      <c r="J9" s="2" t="s">
        <v>62</v>
      </c>
      <c r="M9" s="13">
        <f>N9/Sheet1!$B9</f>
        <v>0.375</v>
      </c>
      <c r="N9" s="2">
        <f t="shared" si="0"/>
        <v>3</v>
      </c>
      <c r="O9" s="2">
        <f>IF(Sheet1!$H9="ted",1,0)</f>
        <v>0</v>
      </c>
    </row>
    <row r="10" spans="1:17" x14ac:dyDescent="0.2">
      <c r="A10" s="11">
        <v>42839</v>
      </c>
      <c r="B10" s="12">
        <v>9</v>
      </c>
      <c r="C10" s="10" t="s">
        <v>55</v>
      </c>
      <c r="D10" s="10" t="s">
        <v>61</v>
      </c>
      <c r="E10" s="10">
        <v>1</v>
      </c>
      <c r="F10" s="10" t="s">
        <v>3</v>
      </c>
      <c r="G10" s="10">
        <v>1</v>
      </c>
      <c r="H10" s="10" t="s">
        <v>8</v>
      </c>
      <c r="I10" s="10">
        <v>0</v>
      </c>
      <c r="K10" s="2">
        <v>0.5</v>
      </c>
      <c r="L10" s="13">
        <f t="shared" ref="L10:L548" si="1">SUM(E2:E10)/9</f>
        <v>0.44444444444444442</v>
      </c>
      <c r="M10" s="13">
        <f>N10/Sheet1!$B10</f>
        <v>0.44444444444444442</v>
      </c>
      <c r="N10" s="2">
        <f t="shared" si="0"/>
        <v>4</v>
      </c>
      <c r="O10" s="2">
        <f>IF(Sheet1!$H10="ted",1,0)</f>
        <v>1</v>
      </c>
    </row>
    <row r="11" spans="1:17" x14ac:dyDescent="0.2">
      <c r="A11" s="11">
        <v>42839</v>
      </c>
      <c r="B11" s="12">
        <v>10</v>
      </c>
      <c r="C11" s="10" t="s">
        <v>55</v>
      </c>
      <c r="D11" s="10" t="s">
        <v>61</v>
      </c>
      <c r="E11" s="10">
        <v>1</v>
      </c>
      <c r="F11" s="10" t="s">
        <v>3</v>
      </c>
      <c r="G11" s="10">
        <v>1</v>
      </c>
      <c r="H11" s="10" t="s">
        <v>60</v>
      </c>
      <c r="I11" s="10">
        <v>0</v>
      </c>
      <c r="K11" s="2">
        <v>0.5</v>
      </c>
      <c r="L11" s="13">
        <f t="shared" si="1"/>
        <v>0.55555555555555558</v>
      </c>
      <c r="M11" s="13">
        <f>N11/Sheet1!$B11</f>
        <v>0.5</v>
      </c>
      <c r="N11" s="2">
        <f t="shared" si="0"/>
        <v>5</v>
      </c>
      <c r="O11" s="2">
        <f>IF(Sheet1!$H11="ted",1,0)</f>
        <v>0</v>
      </c>
    </row>
    <row r="12" spans="1:17" x14ac:dyDescent="0.2">
      <c r="A12" s="11">
        <v>42846</v>
      </c>
      <c r="B12" s="12">
        <v>11</v>
      </c>
      <c r="C12" s="10" t="s">
        <v>53</v>
      </c>
      <c r="D12" s="10" t="s">
        <v>7</v>
      </c>
      <c r="E12" s="10">
        <v>0</v>
      </c>
      <c r="F12" s="10" t="s">
        <v>3</v>
      </c>
      <c r="G12" s="10">
        <v>0</v>
      </c>
      <c r="H12" s="10" t="s">
        <v>7</v>
      </c>
      <c r="I12" s="10">
        <v>0</v>
      </c>
      <c r="K12" s="2">
        <v>0.5</v>
      </c>
      <c r="L12" s="13">
        <f t="shared" si="1"/>
        <v>0.55555555555555558</v>
      </c>
      <c r="M12" s="13">
        <f>N12/Sheet1!$B12</f>
        <v>0.45454545454545453</v>
      </c>
      <c r="N12" s="2">
        <f t="shared" si="0"/>
        <v>5</v>
      </c>
      <c r="O12" s="2">
        <f>IF(Sheet1!$H12="ted",1,0)</f>
        <v>0</v>
      </c>
    </row>
    <row r="13" spans="1:17" x14ac:dyDescent="0.2">
      <c r="A13" s="11">
        <v>42846</v>
      </c>
      <c r="B13" s="12">
        <v>12</v>
      </c>
      <c r="C13" s="10" t="s">
        <v>53</v>
      </c>
      <c r="D13" s="10" t="s">
        <v>7</v>
      </c>
      <c r="E13" s="10">
        <v>0</v>
      </c>
      <c r="F13" s="10" t="s">
        <v>3</v>
      </c>
      <c r="G13" s="10">
        <v>5</v>
      </c>
      <c r="H13" s="10" t="s">
        <v>8</v>
      </c>
      <c r="I13" s="10">
        <v>0</v>
      </c>
      <c r="K13" s="2">
        <v>0.5</v>
      </c>
      <c r="L13" s="13">
        <f t="shared" si="1"/>
        <v>0.44444444444444442</v>
      </c>
      <c r="M13" s="13">
        <f>N13/Sheet1!$B13</f>
        <v>0.41666666666666669</v>
      </c>
      <c r="N13" s="2">
        <f t="shared" si="0"/>
        <v>5</v>
      </c>
      <c r="O13" s="2">
        <f>IF(Sheet1!$H13="ted",1,0)</f>
        <v>1</v>
      </c>
    </row>
    <row r="14" spans="1:17" x14ac:dyDescent="0.2">
      <c r="A14" s="11">
        <v>42846</v>
      </c>
      <c r="B14" s="12">
        <v>13</v>
      </c>
      <c r="C14" s="10" t="s">
        <v>53</v>
      </c>
      <c r="D14" s="10" t="s">
        <v>7</v>
      </c>
      <c r="E14" s="10">
        <v>0</v>
      </c>
      <c r="F14" s="10" t="s">
        <v>3</v>
      </c>
      <c r="G14" s="10">
        <v>3</v>
      </c>
      <c r="H14" s="10" t="s">
        <v>7</v>
      </c>
      <c r="I14" s="10">
        <v>0</v>
      </c>
      <c r="K14" s="2">
        <v>0.5</v>
      </c>
      <c r="L14" s="13">
        <f t="shared" si="1"/>
        <v>0.33333333333333331</v>
      </c>
      <c r="M14" s="13">
        <f>N14/Sheet1!$B14</f>
        <v>0.38461538461538464</v>
      </c>
      <c r="N14" s="2">
        <f t="shared" si="0"/>
        <v>5</v>
      </c>
      <c r="O14" s="2">
        <f>IF(Sheet1!$H14="ted",1,0)</f>
        <v>0</v>
      </c>
    </row>
    <row r="15" spans="1:17" x14ac:dyDescent="0.2">
      <c r="A15" s="11">
        <v>42851</v>
      </c>
      <c r="B15" s="12">
        <v>14</v>
      </c>
      <c r="C15" s="10" t="s">
        <v>53</v>
      </c>
      <c r="D15" s="10" t="s">
        <v>7</v>
      </c>
      <c r="E15" s="10">
        <v>0</v>
      </c>
      <c r="F15" s="10" t="s">
        <v>3</v>
      </c>
      <c r="G15" s="10">
        <v>1</v>
      </c>
      <c r="H15" s="10" t="s">
        <v>8</v>
      </c>
      <c r="I15" s="10">
        <v>0</v>
      </c>
      <c r="K15" s="2">
        <v>0.5</v>
      </c>
      <c r="L15" s="13">
        <f t="shared" si="1"/>
        <v>0.22222222222222221</v>
      </c>
      <c r="M15" s="13">
        <f>N15/Sheet1!$B15</f>
        <v>0.35714285714285715</v>
      </c>
      <c r="N15" s="2">
        <f t="shared" si="0"/>
        <v>5</v>
      </c>
      <c r="O15" s="2">
        <f>IF(Sheet1!$H15="ted",1,0)</f>
        <v>1</v>
      </c>
    </row>
    <row r="16" spans="1:17" x14ac:dyDescent="0.2">
      <c r="A16" s="11">
        <v>42854</v>
      </c>
      <c r="B16" s="12">
        <v>15</v>
      </c>
      <c r="C16" s="10" t="s">
        <v>53</v>
      </c>
      <c r="D16" s="10" t="s">
        <v>63</v>
      </c>
      <c r="E16" s="10">
        <v>0</v>
      </c>
      <c r="F16" s="10" t="s">
        <v>64</v>
      </c>
      <c r="G16" s="10" t="s">
        <v>7</v>
      </c>
      <c r="H16" s="10" t="s">
        <v>7</v>
      </c>
      <c r="I16" s="10" t="s">
        <v>57</v>
      </c>
      <c r="K16" s="2">
        <v>0.5</v>
      </c>
      <c r="L16" s="13">
        <f t="shared" si="1"/>
        <v>0.22222222222222221</v>
      </c>
      <c r="M16" s="13">
        <f>N16/Sheet1!$B16</f>
        <v>0.33333333333333331</v>
      </c>
      <c r="N16" s="2">
        <f t="shared" si="0"/>
        <v>5</v>
      </c>
      <c r="O16" s="2">
        <f>IF(Sheet1!$H16="ted",1,0)</f>
        <v>0</v>
      </c>
    </row>
    <row r="17" spans="1:15" x14ac:dyDescent="0.2">
      <c r="A17" s="11">
        <v>42854</v>
      </c>
      <c r="B17" s="12">
        <v>16</v>
      </c>
      <c r="C17" s="10" t="s">
        <v>53</v>
      </c>
      <c r="D17" s="10" t="s">
        <v>63</v>
      </c>
      <c r="E17" s="10">
        <v>0</v>
      </c>
      <c r="F17" s="10" t="s">
        <v>64</v>
      </c>
      <c r="G17" s="10" t="s">
        <v>7</v>
      </c>
      <c r="H17" s="10" t="s">
        <v>8</v>
      </c>
      <c r="I17" s="10" t="s">
        <v>57</v>
      </c>
      <c r="K17" s="2">
        <v>0.5</v>
      </c>
      <c r="L17" s="13">
        <f t="shared" si="1"/>
        <v>0.22222222222222221</v>
      </c>
      <c r="M17" s="13">
        <f>N17/Sheet1!$B17</f>
        <v>0.3125</v>
      </c>
      <c r="N17" s="2">
        <f t="shared" si="0"/>
        <v>5</v>
      </c>
      <c r="O17" s="2">
        <f>IF(Sheet1!$H17="ted",1,0)</f>
        <v>1</v>
      </c>
    </row>
    <row r="18" spans="1:15" x14ac:dyDescent="0.2">
      <c r="A18" s="11">
        <v>42854</v>
      </c>
      <c r="B18" s="12">
        <v>17</v>
      </c>
      <c r="C18" s="10" t="s">
        <v>53</v>
      </c>
      <c r="D18" s="10" t="s">
        <v>63</v>
      </c>
      <c r="E18" s="10">
        <v>0</v>
      </c>
      <c r="F18" s="10" t="s">
        <v>64</v>
      </c>
      <c r="G18" s="10" t="s">
        <v>7</v>
      </c>
      <c r="H18" s="10" t="s">
        <v>57</v>
      </c>
      <c r="I18" s="10" t="s">
        <v>57</v>
      </c>
      <c r="K18" s="2">
        <v>0.5</v>
      </c>
      <c r="L18" s="13">
        <f t="shared" si="1"/>
        <v>0.22222222222222221</v>
      </c>
      <c r="M18" s="13">
        <f>N18/Sheet1!$B18</f>
        <v>0.29411764705882354</v>
      </c>
      <c r="N18" s="2">
        <f t="shared" si="0"/>
        <v>5</v>
      </c>
      <c r="O18" s="2">
        <f>IF(Sheet1!$H18="ted",1,0)</f>
        <v>0</v>
      </c>
    </row>
    <row r="19" spans="1:15" x14ac:dyDescent="0.2">
      <c r="A19" s="11">
        <v>42854</v>
      </c>
      <c r="B19" s="12">
        <v>18</v>
      </c>
      <c r="C19" s="10" t="s">
        <v>53</v>
      </c>
      <c r="D19" s="10" t="s">
        <v>63</v>
      </c>
      <c r="E19" s="10">
        <v>0</v>
      </c>
      <c r="F19" s="10" t="s">
        <v>64</v>
      </c>
      <c r="G19" s="10" t="s">
        <v>7</v>
      </c>
      <c r="H19" s="10" t="s">
        <v>57</v>
      </c>
      <c r="I19" s="10" t="s">
        <v>57</v>
      </c>
      <c r="K19" s="2">
        <v>0.5</v>
      </c>
      <c r="L19" s="13">
        <f t="shared" si="1"/>
        <v>0.1111111111111111</v>
      </c>
      <c r="M19" s="13">
        <f>N19/Sheet1!$B19</f>
        <v>0.27777777777777779</v>
      </c>
      <c r="N19" s="2">
        <f t="shared" si="0"/>
        <v>5</v>
      </c>
      <c r="O19" s="2">
        <f>IF(Sheet1!$H19="ted",1,0)</f>
        <v>0</v>
      </c>
    </row>
    <row r="20" spans="1:15" x14ac:dyDescent="0.2">
      <c r="A20" s="11">
        <v>42855</v>
      </c>
      <c r="B20" s="12">
        <v>19</v>
      </c>
      <c r="C20" s="10" t="s">
        <v>65</v>
      </c>
      <c r="D20" s="10" t="s">
        <v>66</v>
      </c>
      <c r="E20" s="10">
        <v>0</v>
      </c>
      <c r="F20" s="10" t="s">
        <v>3</v>
      </c>
      <c r="G20" s="10">
        <v>3</v>
      </c>
      <c r="H20" s="10" t="s">
        <v>8</v>
      </c>
      <c r="I20" s="10">
        <v>0</v>
      </c>
      <c r="K20" s="2">
        <v>0.5</v>
      </c>
      <c r="L20" s="13">
        <f t="shared" si="1"/>
        <v>0</v>
      </c>
      <c r="M20" s="13">
        <f>N20/Sheet1!$B20</f>
        <v>0.26315789473684209</v>
      </c>
      <c r="N20" s="2">
        <f t="shared" si="0"/>
        <v>5</v>
      </c>
      <c r="O20" s="2">
        <f>IF(Sheet1!$H20="ted",1,0)</f>
        <v>1</v>
      </c>
    </row>
    <row r="21" spans="1:15" ht="15.75" customHeight="1" x14ac:dyDescent="0.2">
      <c r="A21" s="11">
        <v>42855</v>
      </c>
      <c r="B21" s="12">
        <v>20</v>
      </c>
      <c r="C21" s="10" t="s">
        <v>65</v>
      </c>
      <c r="D21" s="10" t="s">
        <v>66</v>
      </c>
      <c r="E21" s="10">
        <v>1</v>
      </c>
      <c r="F21" s="10" t="s">
        <v>3</v>
      </c>
      <c r="G21" s="10">
        <v>0</v>
      </c>
      <c r="H21" s="10" t="s">
        <v>57</v>
      </c>
      <c r="I21" s="10">
        <v>0</v>
      </c>
      <c r="K21" s="2">
        <v>0.5</v>
      </c>
      <c r="L21" s="13">
        <f t="shared" si="1"/>
        <v>0.1111111111111111</v>
      </c>
      <c r="M21" s="13">
        <f>N21/Sheet1!$B21</f>
        <v>0.3</v>
      </c>
      <c r="N21" s="2">
        <f t="shared" si="0"/>
        <v>6</v>
      </c>
      <c r="O21" s="2">
        <f>IF(Sheet1!$H21="ted",1,0)</f>
        <v>0</v>
      </c>
    </row>
    <row r="22" spans="1:15" ht="15.75" customHeight="1" x14ac:dyDescent="0.2">
      <c r="A22" s="11">
        <v>42855</v>
      </c>
      <c r="B22" s="12">
        <v>21</v>
      </c>
      <c r="C22" s="10" t="s">
        <v>65</v>
      </c>
      <c r="D22" s="10" t="s">
        <v>66</v>
      </c>
      <c r="E22" s="10">
        <v>0</v>
      </c>
      <c r="F22" s="10" t="s">
        <v>3</v>
      </c>
      <c r="G22" s="10">
        <v>0</v>
      </c>
      <c r="H22" s="10" t="s">
        <v>8</v>
      </c>
      <c r="I22" s="10">
        <v>0</v>
      </c>
      <c r="K22" s="2">
        <v>0.5</v>
      </c>
      <c r="L22" s="13">
        <f t="shared" si="1"/>
        <v>0.1111111111111111</v>
      </c>
      <c r="M22" s="13">
        <f>N22/Sheet1!$B22</f>
        <v>0.2857142857142857</v>
      </c>
      <c r="N22" s="2">
        <f t="shared" si="0"/>
        <v>6</v>
      </c>
      <c r="O22" s="2">
        <f>IF(Sheet1!$H22="ted",1,0)</f>
        <v>1</v>
      </c>
    </row>
    <row r="23" spans="1:15" ht="15.75" customHeight="1" x14ac:dyDescent="0.2">
      <c r="A23" s="11">
        <v>42855</v>
      </c>
      <c r="B23" s="12">
        <v>22</v>
      </c>
      <c r="C23" s="10" t="s">
        <v>65</v>
      </c>
      <c r="D23" s="10" t="s">
        <v>63</v>
      </c>
      <c r="E23" s="10">
        <v>0</v>
      </c>
      <c r="F23" s="10" t="s">
        <v>64</v>
      </c>
      <c r="G23" s="10" t="s">
        <v>8</v>
      </c>
      <c r="H23" s="10" t="s">
        <v>57</v>
      </c>
      <c r="I23" s="10" t="s">
        <v>57</v>
      </c>
      <c r="K23" s="2">
        <v>0.5</v>
      </c>
      <c r="L23" s="13">
        <f t="shared" si="1"/>
        <v>0.1111111111111111</v>
      </c>
      <c r="M23" s="13">
        <f>N23/Sheet1!$B23</f>
        <v>0.27272727272727271</v>
      </c>
      <c r="N23" s="2">
        <f t="shared" si="0"/>
        <v>6</v>
      </c>
      <c r="O23" s="2">
        <f>IF(Sheet1!$H23="ted",1,0)</f>
        <v>0</v>
      </c>
    </row>
    <row r="24" spans="1:15" ht="15.75" customHeight="1" x14ac:dyDescent="0.2">
      <c r="A24" s="11">
        <v>42855</v>
      </c>
      <c r="B24" s="12">
        <v>23</v>
      </c>
      <c r="C24" s="10" t="s">
        <v>65</v>
      </c>
      <c r="D24" s="10" t="s">
        <v>63</v>
      </c>
      <c r="E24" s="10">
        <v>1</v>
      </c>
      <c r="F24" s="10" t="s">
        <v>64</v>
      </c>
      <c r="G24" s="10" t="s">
        <v>7</v>
      </c>
      <c r="H24" s="10" t="s">
        <v>57</v>
      </c>
      <c r="I24" s="10" t="s">
        <v>8</v>
      </c>
      <c r="K24" s="2">
        <v>0.5</v>
      </c>
      <c r="L24" s="13">
        <f t="shared" si="1"/>
        <v>0.22222222222222221</v>
      </c>
      <c r="M24" s="13">
        <f>N24/Sheet1!$B24</f>
        <v>0.30434782608695654</v>
      </c>
      <c r="N24" s="2">
        <f t="shared" si="0"/>
        <v>7</v>
      </c>
      <c r="O24" s="2">
        <f>IF(Sheet1!$H24="ted",1,0)</f>
        <v>0</v>
      </c>
    </row>
    <row r="25" spans="1:15" ht="15.75" customHeight="1" x14ac:dyDescent="0.2">
      <c r="A25" s="11">
        <v>42855</v>
      </c>
      <c r="B25" s="12">
        <v>24</v>
      </c>
      <c r="C25" s="10" t="s">
        <v>65</v>
      </c>
      <c r="D25" s="10" t="s">
        <v>63</v>
      </c>
      <c r="E25" s="10">
        <v>1</v>
      </c>
      <c r="F25" s="10" t="s">
        <v>64</v>
      </c>
      <c r="G25" s="10" t="s">
        <v>7</v>
      </c>
      <c r="H25" s="10" t="s">
        <v>8</v>
      </c>
      <c r="I25" s="10" t="s">
        <v>8</v>
      </c>
      <c r="K25" s="2">
        <v>0.5</v>
      </c>
      <c r="L25" s="13">
        <f t="shared" si="1"/>
        <v>0.33333333333333331</v>
      </c>
      <c r="M25" s="13">
        <f>N25/Sheet1!$B25</f>
        <v>0.33333333333333331</v>
      </c>
      <c r="N25" s="2">
        <f t="shared" si="0"/>
        <v>8</v>
      </c>
      <c r="O25" s="2">
        <f>IF(Sheet1!$H25="ted",1,0)</f>
        <v>1</v>
      </c>
    </row>
    <row r="26" spans="1:15" ht="15.75" customHeight="1" x14ac:dyDescent="0.2">
      <c r="A26" s="11">
        <v>42866</v>
      </c>
      <c r="B26" s="12">
        <v>25</v>
      </c>
      <c r="C26" s="10" t="s">
        <v>53</v>
      </c>
      <c r="D26" s="10" t="s">
        <v>7</v>
      </c>
      <c r="E26" s="10">
        <v>0</v>
      </c>
      <c r="F26" s="10" t="s">
        <v>3</v>
      </c>
      <c r="G26" s="10">
        <v>2</v>
      </c>
      <c r="H26" s="10" t="s">
        <v>7</v>
      </c>
      <c r="I26" s="10">
        <v>0</v>
      </c>
      <c r="K26" s="2">
        <v>0.5</v>
      </c>
      <c r="L26" s="13">
        <f t="shared" si="1"/>
        <v>0.33333333333333331</v>
      </c>
      <c r="M26" s="13">
        <f>N26/Sheet1!$B26</f>
        <v>0.32</v>
      </c>
      <c r="N26" s="2">
        <f t="shared" si="0"/>
        <v>8</v>
      </c>
      <c r="O26" s="2">
        <f>IF(Sheet1!$H26="ted",1,0)</f>
        <v>0</v>
      </c>
    </row>
    <row r="27" spans="1:15" ht="15.75" customHeight="1" x14ac:dyDescent="0.2">
      <c r="A27" s="11">
        <v>42866</v>
      </c>
      <c r="B27" s="12">
        <v>26</v>
      </c>
      <c r="C27" s="10" t="s">
        <v>53</v>
      </c>
      <c r="D27" s="10" t="s">
        <v>7</v>
      </c>
      <c r="E27" s="10">
        <v>0</v>
      </c>
      <c r="F27" s="10" t="s">
        <v>2</v>
      </c>
      <c r="G27" s="10">
        <v>2</v>
      </c>
      <c r="H27" s="10" t="s">
        <v>8</v>
      </c>
      <c r="I27" s="10">
        <v>3</v>
      </c>
      <c r="K27" s="2">
        <v>0.5</v>
      </c>
      <c r="L27" s="13">
        <f t="shared" si="1"/>
        <v>0.33333333333333331</v>
      </c>
      <c r="M27" s="13">
        <f>N27/Sheet1!$B27</f>
        <v>0.30769230769230771</v>
      </c>
      <c r="N27" s="2">
        <f t="shared" si="0"/>
        <v>8</v>
      </c>
      <c r="O27" s="2">
        <f>IF(Sheet1!$H27="ted",1,0)</f>
        <v>1</v>
      </c>
    </row>
    <row r="28" spans="1:15" ht="15.75" customHeight="1" x14ac:dyDescent="0.2">
      <c r="A28" s="11">
        <v>42866</v>
      </c>
      <c r="B28" s="12">
        <v>27</v>
      </c>
      <c r="C28" s="10" t="s">
        <v>53</v>
      </c>
      <c r="D28" s="10" t="s">
        <v>7</v>
      </c>
      <c r="E28" s="10">
        <v>0</v>
      </c>
      <c r="F28" s="10" t="s">
        <v>2</v>
      </c>
      <c r="G28" s="10">
        <v>5</v>
      </c>
      <c r="H28" s="10" t="s">
        <v>7</v>
      </c>
      <c r="I28" s="10">
        <v>5</v>
      </c>
      <c r="K28" s="2">
        <v>0.5</v>
      </c>
      <c r="L28" s="13">
        <f t="shared" si="1"/>
        <v>0.33333333333333331</v>
      </c>
      <c r="M28" s="13">
        <f>N28/Sheet1!$B28</f>
        <v>0.29629629629629628</v>
      </c>
      <c r="N28" s="2">
        <f t="shared" si="0"/>
        <v>8</v>
      </c>
      <c r="O28" s="2">
        <f>IF(Sheet1!$H28="ted",1,0)</f>
        <v>0</v>
      </c>
    </row>
    <row r="29" spans="1:15" ht="15.75" customHeight="1" x14ac:dyDescent="0.2">
      <c r="A29" s="11">
        <v>42873</v>
      </c>
      <c r="B29" s="12">
        <v>28</v>
      </c>
      <c r="C29" s="10" t="s">
        <v>67</v>
      </c>
      <c r="D29" s="10" t="s">
        <v>7</v>
      </c>
      <c r="E29" s="10">
        <v>1</v>
      </c>
      <c r="F29" s="10" t="s">
        <v>3</v>
      </c>
      <c r="G29" s="10">
        <v>1</v>
      </c>
      <c r="H29" s="10" t="s">
        <v>7</v>
      </c>
      <c r="I29" s="10">
        <v>0</v>
      </c>
      <c r="K29" s="2">
        <v>0.5</v>
      </c>
      <c r="L29" s="13">
        <f t="shared" si="1"/>
        <v>0.44444444444444442</v>
      </c>
      <c r="M29" s="13">
        <f>N29/Sheet1!$B29</f>
        <v>0.32142857142857145</v>
      </c>
      <c r="N29" s="2">
        <f t="shared" si="0"/>
        <v>9</v>
      </c>
      <c r="O29" s="2">
        <f>IF(Sheet1!$H29="ted",1,0)</f>
        <v>0</v>
      </c>
    </row>
    <row r="30" spans="1:15" ht="15.75" customHeight="1" x14ac:dyDescent="0.2">
      <c r="A30" s="11">
        <v>42873</v>
      </c>
      <c r="B30" s="12">
        <v>29</v>
      </c>
      <c r="C30" s="10" t="s">
        <v>67</v>
      </c>
      <c r="D30" s="10" t="s">
        <v>7</v>
      </c>
      <c r="E30" s="10">
        <v>1</v>
      </c>
      <c r="F30" s="10" t="s">
        <v>2</v>
      </c>
      <c r="G30" s="10">
        <v>3</v>
      </c>
      <c r="H30" s="10" t="s">
        <v>8</v>
      </c>
      <c r="I30" s="10">
        <v>3</v>
      </c>
      <c r="K30" s="2">
        <v>0.5</v>
      </c>
      <c r="L30" s="13">
        <f t="shared" si="1"/>
        <v>0.44444444444444442</v>
      </c>
      <c r="M30" s="13">
        <f>N30/Sheet1!$B30</f>
        <v>0.34482758620689657</v>
      </c>
      <c r="N30" s="2">
        <f t="shared" si="0"/>
        <v>10</v>
      </c>
      <c r="O30" s="2">
        <f>IF(Sheet1!$H30="ted",1,0)</f>
        <v>1</v>
      </c>
    </row>
    <row r="31" spans="1:15" ht="15.75" customHeight="1" x14ac:dyDescent="0.2">
      <c r="A31" s="11">
        <v>42873</v>
      </c>
      <c r="B31" s="12">
        <v>30</v>
      </c>
      <c r="C31" s="10" t="s">
        <v>67</v>
      </c>
      <c r="D31" s="10" t="s">
        <v>68</v>
      </c>
      <c r="E31" s="10">
        <v>1</v>
      </c>
      <c r="F31" s="10" t="s">
        <v>3</v>
      </c>
      <c r="G31" s="10">
        <v>2</v>
      </c>
      <c r="H31" s="10" t="s">
        <v>8</v>
      </c>
      <c r="I31" s="10">
        <v>0</v>
      </c>
      <c r="K31" s="2">
        <v>0.5</v>
      </c>
      <c r="L31" s="13">
        <f t="shared" si="1"/>
        <v>0.55555555555555558</v>
      </c>
      <c r="M31" s="13">
        <f>N31/Sheet1!$B31</f>
        <v>0.36666666666666664</v>
      </c>
      <c r="N31" s="2">
        <f t="shared" si="0"/>
        <v>11</v>
      </c>
      <c r="O31" s="2">
        <f>IF(Sheet1!$H31="ted",1,0)</f>
        <v>1</v>
      </c>
    </row>
    <row r="32" spans="1:15" ht="15.75" customHeight="1" x14ac:dyDescent="0.2">
      <c r="A32" s="11">
        <v>42890</v>
      </c>
      <c r="B32" s="12">
        <v>31</v>
      </c>
      <c r="C32" s="10" t="s">
        <v>65</v>
      </c>
      <c r="D32" s="10" t="s">
        <v>7</v>
      </c>
      <c r="E32" s="10">
        <v>1</v>
      </c>
      <c r="F32" s="10" t="s">
        <v>3</v>
      </c>
      <c r="G32" s="10">
        <v>0</v>
      </c>
      <c r="H32" s="10" t="s">
        <v>8</v>
      </c>
      <c r="I32" s="10">
        <v>0</v>
      </c>
      <c r="K32" s="2">
        <v>0.5</v>
      </c>
      <c r="L32" s="13">
        <f t="shared" si="1"/>
        <v>0.66666666666666663</v>
      </c>
      <c r="M32" s="13">
        <f>N32/Sheet1!$B32</f>
        <v>0.38709677419354838</v>
      </c>
      <c r="N32" s="2">
        <f t="shared" si="0"/>
        <v>12</v>
      </c>
      <c r="O32" s="2">
        <f>IF(Sheet1!$H32="ted",1,0)</f>
        <v>1</v>
      </c>
    </row>
    <row r="33" spans="1:15" ht="15.75" customHeight="1" x14ac:dyDescent="0.2">
      <c r="A33" s="11">
        <v>42890</v>
      </c>
      <c r="B33" s="12">
        <v>32</v>
      </c>
      <c r="C33" s="10" t="s">
        <v>65</v>
      </c>
      <c r="D33" s="10" t="s">
        <v>7</v>
      </c>
      <c r="E33" s="10">
        <v>0</v>
      </c>
      <c r="F33" s="10" t="s">
        <v>4</v>
      </c>
      <c r="G33" s="10">
        <v>0</v>
      </c>
      <c r="H33" s="10" t="s">
        <v>7</v>
      </c>
      <c r="I33" s="10">
        <v>0</v>
      </c>
      <c r="K33" s="2">
        <v>0.5</v>
      </c>
      <c r="L33" s="13">
        <f t="shared" si="1"/>
        <v>0.55555555555555558</v>
      </c>
      <c r="M33" s="13">
        <f>N33/Sheet1!$B33</f>
        <v>0.375</v>
      </c>
      <c r="N33" s="2">
        <f t="shared" si="0"/>
        <v>12</v>
      </c>
      <c r="O33" s="2">
        <f>IF(Sheet1!$H33="ted",1,0)</f>
        <v>0</v>
      </c>
    </row>
    <row r="34" spans="1:15" ht="15.75" customHeight="1" x14ac:dyDescent="0.2">
      <c r="A34" s="11">
        <v>42890</v>
      </c>
      <c r="B34" s="12">
        <v>33</v>
      </c>
      <c r="C34" s="10" t="s">
        <v>65</v>
      </c>
      <c r="D34" s="10" t="s">
        <v>7</v>
      </c>
      <c r="E34" s="10">
        <v>1</v>
      </c>
      <c r="F34" s="10" t="s">
        <v>4</v>
      </c>
      <c r="G34" s="10">
        <v>0</v>
      </c>
      <c r="H34" s="10" t="s">
        <v>8</v>
      </c>
      <c r="I34" s="10">
        <v>1</v>
      </c>
      <c r="K34" s="2">
        <v>0.5</v>
      </c>
      <c r="L34" s="13">
        <f t="shared" si="1"/>
        <v>0.55555555555555558</v>
      </c>
      <c r="M34" s="13">
        <f>N34/Sheet1!$B34</f>
        <v>0.39393939393939392</v>
      </c>
      <c r="N34" s="2">
        <f t="shared" si="0"/>
        <v>13</v>
      </c>
      <c r="O34" s="2">
        <f>IF(Sheet1!$H34="ted",1,0)</f>
        <v>1</v>
      </c>
    </row>
    <row r="35" spans="1:15" ht="15.75" customHeight="1" x14ac:dyDescent="0.2">
      <c r="A35" s="11">
        <v>42894</v>
      </c>
      <c r="B35" s="12">
        <v>34</v>
      </c>
      <c r="C35" s="10" t="s">
        <v>53</v>
      </c>
      <c r="D35" s="10" t="s">
        <v>7</v>
      </c>
      <c r="E35" s="10">
        <v>0</v>
      </c>
      <c r="F35" s="10" t="s">
        <v>3</v>
      </c>
      <c r="G35" s="10">
        <v>2</v>
      </c>
      <c r="H35" s="10" t="s">
        <v>7</v>
      </c>
      <c r="I35" s="10">
        <v>0</v>
      </c>
      <c r="K35" s="2">
        <v>0.5</v>
      </c>
      <c r="L35" s="13">
        <f t="shared" si="1"/>
        <v>0.55555555555555558</v>
      </c>
      <c r="M35" s="13">
        <f>N35/Sheet1!$B35</f>
        <v>0.38235294117647056</v>
      </c>
      <c r="N35" s="2">
        <f t="shared" si="0"/>
        <v>13</v>
      </c>
      <c r="O35" s="2">
        <f>IF(Sheet1!$H35="ted",1,0)</f>
        <v>0</v>
      </c>
    </row>
    <row r="36" spans="1:15" ht="15.75" customHeight="1" x14ac:dyDescent="0.2">
      <c r="A36" s="11">
        <v>42894</v>
      </c>
      <c r="B36" s="12">
        <v>35</v>
      </c>
      <c r="C36" s="10" t="s">
        <v>53</v>
      </c>
      <c r="D36" s="10" t="s">
        <v>7</v>
      </c>
      <c r="E36" s="10">
        <v>1</v>
      </c>
      <c r="F36" s="10" t="s">
        <v>2</v>
      </c>
      <c r="G36" s="10">
        <v>2</v>
      </c>
      <c r="H36" s="10" t="s">
        <v>8</v>
      </c>
      <c r="I36" s="10">
        <v>4</v>
      </c>
      <c r="K36" s="2">
        <v>0.5</v>
      </c>
      <c r="L36" s="13">
        <f t="shared" si="1"/>
        <v>0.66666666666666663</v>
      </c>
      <c r="M36" s="13">
        <f>N36/Sheet1!$B36</f>
        <v>0.4</v>
      </c>
      <c r="N36" s="2">
        <f t="shared" si="0"/>
        <v>14</v>
      </c>
      <c r="O36" s="2">
        <f>IF(Sheet1!$H36="ted",1,0)</f>
        <v>1</v>
      </c>
    </row>
    <row r="37" spans="1:15" ht="15.75" customHeight="1" x14ac:dyDescent="0.2">
      <c r="A37" s="11">
        <v>42894</v>
      </c>
      <c r="B37" s="12">
        <v>36</v>
      </c>
      <c r="C37" s="10" t="s">
        <v>53</v>
      </c>
      <c r="D37" s="10" t="s">
        <v>7</v>
      </c>
      <c r="E37" s="10">
        <v>1</v>
      </c>
      <c r="F37" s="10" t="s">
        <v>3</v>
      </c>
      <c r="G37" s="10">
        <v>0</v>
      </c>
      <c r="H37" s="10" t="s">
        <v>7</v>
      </c>
      <c r="I37" s="10">
        <v>0</v>
      </c>
      <c r="K37" s="2">
        <v>0.5</v>
      </c>
      <c r="L37" s="13">
        <f t="shared" si="1"/>
        <v>0.77777777777777779</v>
      </c>
      <c r="M37" s="13">
        <f>N37/Sheet1!$B37</f>
        <v>0.41666666666666669</v>
      </c>
      <c r="N37" s="2">
        <f t="shared" si="0"/>
        <v>15</v>
      </c>
      <c r="O37" s="2">
        <f>IF(Sheet1!$H37="ted",1,0)</f>
        <v>0</v>
      </c>
    </row>
    <row r="38" spans="1:15" ht="15.75" customHeight="1" x14ac:dyDescent="0.2">
      <c r="A38" s="11">
        <v>42894</v>
      </c>
      <c r="B38" s="12">
        <v>37</v>
      </c>
      <c r="C38" s="10" t="s">
        <v>53</v>
      </c>
      <c r="D38" s="10" t="s">
        <v>57</v>
      </c>
      <c r="E38" s="10">
        <v>1</v>
      </c>
      <c r="F38" s="10" t="s">
        <v>2</v>
      </c>
      <c r="G38" s="10">
        <v>1</v>
      </c>
      <c r="H38" s="10" t="s">
        <v>57</v>
      </c>
      <c r="I38" s="10">
        <v>1</v>
      </c>
      <c r="K38" s="2">
        <v>0.5</v>
      </c>
      <c r="L38" s="13">
        <f t="shared" si="1"/>
        <v>0.77777777777777779</v>
      </c>
      <c r="M38" s="13">
        <f>N38/Sheet1!$B38</f>
        <v>0.43243243243243246</v>
      </c>
      <c r="N38" s="2">
        <f t="shared" si="0"/>
        <v>16</v>
      </c>
      <c r="O38" s="2">
        <f>IF(Sheet1!$H38="ted",1,0)</f>
        <v>0</v>
      </c>
    </row>
    <row r="39" spans="1:15" ht="15.75" customHeight="1" x14ac:dyDescent="0.2">
      <c r="A39" s="11">
        <v>42894</v>
      </c>
      <c r="B39" s="12">
        <v>38</v>
      </c>
      <c r="C39" s="10" t="s">
        <v>53</v>
      </c>
      <c r="D39" s="10" t="s">
        <v>57</v>
      </c>
      <c r="E39" s="10">
        <v>1</v>
      </c>
      <c r="F39" s="10" t="s">
        <v>2</v>
      </c>
      <c r="G39" s="10">
        <v>0</v>
      </c>
      <c r="H39" s="10" t="s">
        <v>8</v>
      </c>
      <c r="I39" s="10">
        <v>1</v>
      </c>
      <c r="K39" s="2">
        <v>0.5</v>
      </c>
      <c r="L39" s="13">
        <f t="shared" si="1"/>
        <v>0.77777777777777779</v>
      </c>
      <c r="M39" s="13">
        <f>N39/Sheet1!$B39</f>
        <v>0.44736842105263158</v>
      </c>
      <c r="N39" s="2">
        <f t="shared" si="0"/>
        <v>17</v>
      </c>
      <c r="O39" s="2">
        <f>IF(Sheet1!$H39="ted",1,0)</f>
        <v>1</v>
      </c>
    </row>
    <row r="40" spans="1:15" ht="15.75" customHeight="1" x14ac:dyDescent="0.2">
      <c r="A40" s="11">
        <v>42894</v>
      </c>
      <c r="B40" s="12">
        <v>39</v>
      </c>
      <c r="C40" s="10" t="s">
        <v>53</v>
      </c>
      <c r="D40" s="10" t="s">
        <v>57</v>
      </c>
      <c r="E40" s="10">
        <v>0</v>
      </c>
      <c r="F40" s="10" t="s">
        <v>3</v>
      </c>
      <c r="G40" s="10">
        <v>1</v>
      </c>
      <c r="H40" s="10" t="s">
        <v>57</v>
      </c>
      <c r="I40" s="10">
        <v>0</v>
      </c>
      <c r="K40" s="2">
        <v>0.5</v>
      </c>
      <c r="L40" s="13">
        <f t="shared" si="1"/>
        <v>0.66666666666666663</v>
      </c>
      <c r="M40" s="13">
        <f>N40/Sheet1!$B40</f>
        <v>0.4358974358974359</v>
      </c>
      <c r="N40" s="2">
        <f t="shared" si="0"/>
        <v>17</v>
      </c>
      <c r="O40" s="2">
        <f>IF(Sheet1!$H40="ted",1,0)</f>
        <v>0</v>
      </c>
    </row>
    <row r="41" spans="1:15" ht="15.75" customHeight="1" x14ac:dyDescent="0.2">
      <c r="A41" s="11">
        <v>42894</v>
      </c>
      <c r="B41" s="12">
        <v>40</v>
      </c>
      <c r="C41" s="10" t="s">
        <v>53</v>
      </c>
      <c r="D41" s="10" t="s">
        <v>57</v>
      </c>
      <c r="E41" s="10">
        <v>0</v>
      </c>
      <c r="F41" s="10" t="s">
        <v>2</v>
      </c>
      <c r="G41" s="10">
        <v>5</v>
      </c>
      <c r="H41" s="10" t="s">
        <v>57</v>
      </c>
      <c r="I41" s="10">
        <v>2</v>
      </c>
      <c r="K41" s="2">
        <v>0.5</v>
      </c>
      <c r="L41" s="13">
        <f t="shared" si="1"/>
        <v>0.55555555555555558</v>
      </c>
      <c r="M41" s="13">
        <f>N41/Sheet1!$B41</f>
        <v>0.42499999999999999</v>
      </c>
      <c r="N41" s="2">
        <f t="shared" si="0"/>
        <v>17</v>
      </c>
      <c r="O41" s="2">
        <f>IF(Sheet1!$H41="ted",1,0)</f>
        <v>0</v>
      </c>
    </row>
    <row r="42" spans="1:15" ht="15.75" customHeight="1" x14ac:dyDescent="0.2">
      <c r="A42" s="11">
        <v>42894</v>
      </c>
      <c r="B42" s="12">
        <v>41</v>
      </c>
      <c r="C42" s="10" t="s">
        <v>53</v>
      </c>
      <c r="D42" s="10" t="s">
        <v>57</v>
      </c>
      <c r="E42" s="10">
        <v>0</v>
      </c>
      <c r="F42" s="10" t="s">
        <v>3</v>
      </c>
      <c r="G42" s="10">
        <v>0</v>
      </c>
      <c r="H42" s="10" t="s">
        <v>8</v>
      </c>
      <c r="I42" s="10">
        <v>0</v>
      </c>
      <c r="K42" s="2">
        <v>0.5</v>
      </c>
      <c r="L42" s="13">
        <f t="shared" si="1"/>
        <v>0.55555555555555558</v>
      </c>
      <c r="M42" s="13">
        <f>N42/Sheet1!$B42</f>
        <v>0.41463414634146339</v>
      </c>
      <c r="N42" s="2">
        <f t="shared" si="0"/>
        <v>17</v>
      </c>
      <c r="O42" s="2">
        <f>IF(Sheet1!$H42="ted",1,0)</f>
        <v>1</v>
      </c>
    </row>
    <row r="43" spans="1:15" ht="15.75" customHeight="1" x14ac:dyDescent="0.2">
      <c r="A43" s="11">
        <v>42900</v>
      </c>
      <c r="B43" s="12">
        <v>42</v>
      </c>
      <c r="C43" s="10" t="s">
        <v>67</v>
      </c>
      <c r="D43" s="10" t="s">
        <v>7</v>
      </c>
      <c r="E43" s="10">
        <v>0</v>
      </c>
      <c r="F43" s="10" t="s">
        <v>3</v>
      </c>
      <c r="G43" s="10">
        <v>2</v>
      </c>
      <c r="H43" s="10" t="s">
        <v>7</v>
      </c>
      <c r="I43" s="10">
        <v>0</v>
      </c>
      <c r="K43" s="2">
        <v>0.5</v>
      </c>
      <c r="L43" s="13">
        <f t="shared" si="1"/>
        <v>0.44444444444444442</v>
      </c>
      <c r="M43" s="13">
        <f>N43/Sheet1!$B43</f>
        <v>0.40476190476190477</v>
      </c>
      <c r="N43" s="2">
        <f t="shared" si="0"/>
        <v>17</v>
      </c>
      <c r="O43" s="2">
        <f>IF(Sheet1!$H43="ted",1,0)</f>
        <v>0</v>
      </c>
    </row>
    <row r="44" spans="1:15" ht="15.75" customHeight="1" x14ac:dyDescent="0.2">
      <c r="A44" s="11">
        <v>42900</v>
      </c>
      <c r="B44" s="12">
        <v>43</v>
      </c>
      <c r="C44" s="10" t="s">
        <v>67</v>
      </c>
      <c r="D44" s="10" t="s">
        <v>7</v>
      </c>
      <c r="E44" s="10">
        <v>0</v>
      </c>
      <c r="F44" s="10" t="s">
        <v>3</v>
      </c>
      <c r="G44" s="10">
        <v>4</v>
      </c>
      <c r="H44" s="10" t="s">
        <v>8</v>
      </c>
      <c r="I44" s="10">
        <v>0</v>
      </c>
      <c r="K44" s="2">
        <v>0.5</v>
      </c>
      <c r="L44" s="13">
        <f t="shared" si="1"/>
        <v>0.44444444444444442</v>
      </c>
      <c r="M44" s="13">
        <f>N44/Sheet1!$B44</f>
        <v>0.39534883720930231</v>
      </c>
      <c r="N44" s="2">
        <f t="shared" si="0"/>
        <v>17</v>
      </c>
      <c r="O44" s="2">
        <f>IF(Sheet1!$H44="ted",1,0)</f>
        <v>1</v>
      </c>
    </row>
    <row r="45" spans="1:15" ht="15.75" customHeight="1" x14ac:dyDescent="0.2">
      <c r="A45" s="11">
        <v>42904</v>
      </c>
      <c r="B45" s="12">
        <v>44</v>
      </c>
      <c r="C45" s="10" t="s">
        <v>53</v>
      </c>
      <c r="D45" s="10" t="s">
        <v>7</v>
      </c>
      <c r="E45" s="10">
        <v>0</v>
      </c>
      <c r="F45" s="10" t="s">
        <v>3</v>
      </c>
      <c r="G45" s="10">
        <v>0</v>
      </c>
      <c r="H45" s="10" t="s">
        <v>7</v>
      </c>
      <c r="I45" s="10">
        <v>0</v>
      </c>
      <c r="K45" s="2">
        <v>0.5</v>
      </c>
      <c r="L45" s="13">
        <f t="shared" si="1"/>
        <v>0.33333333333333331</v>
      </c>
      <c r="M45" s="13">
        <f>N45/Sheet1!$B45</f>
        <v>0.38636363636363635</v>
      </c>
      <c r="N45" s="2">
        <f t="shared" si="0"/>
        <v>17</v>
      </c>
      <c r="O45" s="2">
        <f>IF(Sheet1!$H45="ted",1,0)</f>
        <v>0</v>
      </c>
    </row>
    <row r="46" spans="1:15" ht="15.75" customHeight="1" x14ac:dyDescent="0.2">
      <c r="A46" s="11">
        <v>42904</v>
      </c>
      <c r="B46" s="12">
        <v>45</v>
      </c>
      <c r="C46" s="10" t="s">
        <v>53</v>
      </c>
      <c r="D46" s="10" t="s">
        <v>7</v>
      </c>
      <c r="E46" s="10">
        <v>1</v>
      </c>
      <c r="F46" s="10" t="s">
        <v>3</v>
      </c>
      <c r="G46" s="10">
        <v>3</v>
      </c>
      <c r="H46" s="10" t="s">
        <v>8</v>
      </c>
      <c r="I46" s="10">
        <v>0</v>
      </c>
      <c r="K46" s="2">
        <v>0.5</v>
      </c>
      <c r="L46" s="13">
        <f t="shared" si="1"/>
        <v>0.33333333333333331</v>
      </c>
      <c r="M46" s="13">
        <f>N46/Sheet1!$B46</f>
        <v>0.4</v>
      </c>
      <c r="N46" s="2">
        <f t="shared" si="0"/>
        <v>18</v>
      </c>
      <c r="O46" s="2">
        <f>IF(Sheet1!$H46="ted",1,0)</f>
        <v>1</v>
      </c>
    </row>
    <row r="47" spans="1:15" ht="15.75" customHeight="1" x14ac:dyDescent="0.2">
      <c r="A47" s="11">
        <v>42904</v>
      </c>
      <c r="B47" s="12">
        <v>46</v>
      </c>
      <c r="C47" s="10" t="s">
        <v>53</v>
      </c>
      <c r="D47" s="10" t="s">
        <v>7</v>
      </c>
      <c r="E47" s="10">
        <v>0</v>
      </c>
      <c r="F47" s="10" t="s">
        <v>4</v>
      </c>
      <c r="G47" s="10">
        <v>0</v>
      </c>
      <c r="H47" s="10" t="s">
        <v>7</v>
      </c>
      <c r="I47" s="10">
        <v>0</v>
      </c>
      <c r="K47" s="2">
        <v>0.5</v>
      </c>
      <c r="L47" s="13">
        <f t="shared" si="1"/>
        <v>0.22222222222222221</v>
      </c>
      <c r="M47" s="13">
        <f>N47/Sheet1!$B47</f>
        <v>0.39130434782608697</v>
      </c>
      <c r="N47" s="2">
        <f t="shared" si="0"/>
        <v>18</v>
      </c>
      <c r="O47" s="2">
        <f>IF(Sheet1!$H47="ted",1,0)</f>
        <v>0</v>
      </c>
    </row>
    <row r="48" spans="1:15" ht="15.75" customHeight="1" x14ac:dyDescent="0.2">
      <c r="A48" s="11">
        <v>42910</v>
      </c>
      <c r="B48" s="12">
        <v>47</v>
      </c>
      <c r="C48" s="10" t="s">
        <v>53</v>
      </c>
      <c r="D48" s="10" t="s">
        <v>7</v>
      </c>
      <c r="E48" s="10">
        <v>0</v>
      </c>
      <c r="F48" s="10" t="s">
        <v>3</v>
      </c>
      <c r="G48" s="10">
        <v>4</v>
      </c>
      <c r="H48" s="10" t="s">
        <v>7</v>
      </c>
      <c r="I48" s="10">
        <v>0</v>
      </c>
      <c r="K48" s="2">
        <v>0.5</v>
      </c>
      <c r="L48" s="13">
        <f t="shared" si="1"/>
        <v>0.1111111111111111</v>
      </c>
      <c r="M48" s="13">
        <f>N48/Sheet1!$B48</f>
        <v>0.38297872340425532</v>
      </c>
      <c r="N48" s="2">
        <f t="shared" si="0"/>
        <v>18</v>
      </c>
      <c r="O48" s="2">
        <f>IF(Sheet1!$H48="ted",1,0)</f>
        <v>0</v>
      </c>
    </row>
    <row r="49" spans="1:15" ht="15.75" customHeight="1" x14ac:dyDescent="0.2">
      <c r="A49" s="11">
        <v>42910</v>
      </c>
      <c r="B49" s="12">
        <v>48</v>
      </c>
      <c r="C49" s="10" t="s">
        <v>53</v>
      </c>
      <c r="D49" s="10" t="s">
        <v>7</v>
      </c>
      <c r="E49" s="10">
        <v>0</v>
      </c>
      <c r="F49" s="10" t="s">
        <v>3</v>
      </c>
      <c r="G49" s="10">
        <v>0</v>
      </c>
      <c r="H49" s="10" t="s">
        <v>8</v>
      </c>
      <c r="I49" s="10">
        <v>0</v>
      </c>
      <c r="K49" s="2">
        <v>0.5</v>
      </c>
      <c r="L49" s="13">
        <f t="shared" si="1"/>
        <v>0.1111111111111111</v>
      </c>
      <c r="M49" s="13">
        <f>N49/Sheet1!$B49</f>
        <v>0.375</v>
      </c>
      <c r="N49" s="2">
        <f t="shared" si="0"/>
        <v>18</v>
      </c>
      <c r="O49" s="2">
        <f>IF(Sheet1!$H49="ted",1,0)</f>
        <v>1</v>
      </c>
    </row>
    <row r="50" spans="1:15" ht="15.75" customHeight="1" x14ac:dyDescent="0.2">
      <c r="A50" s="11">
        <v>42910</v>
      </c>
      <c r="B50" s="12">
        <v>49</v>
      </c>
      <c r="C50" s="10" t="s">
        <v>53</v>
      </c>
      <c r="D50" s="10" t="s">
        <v>7</v>
      </c>
      <c r="E50" s="10">
        <v>0</v>
      </c>
      <c r="F50" s="10" t="s">
        <v>3</v>
      </c>
      <c r="G50" s="10">
        <v>1</v>
      </c>
      <c r="H50" s="10" t="s">
        <v>7</v>
      </c>
      <c r="I50" s="10">
        <v>0</v>
      </c>
      <c r="K50" s="2">
        <v>0.5</v>
      </c>
      <c r="L50" s="13">
        <f t="shared" si="1"/>
        <v>0.1111111111111111</v>
      </c>
      <c r="M50" s="13">
        <f>N50/Sheet1!$B50</f>
        <v>0.36734693877551022</v>
      </c>
      <c r="N50" s="2">
        <f t="shared" si="0"/>
        <v>18</v>
      </c>
      <c r="O50" s="2">
        <f>IF(Sheet1!$H50="ted",1,0)</f>
        <v>0</v>
      </c>
    </row>
    <row r="51" spans="1:15" ht="15.75" customHeight="1" x14ac:dyDescent="0.2">
      <c r="A51" s="11">
        <v>42915</v>
      </c>
      <c r="B51" s="12">
        <v>50</v>
      </c>
      <c r="C51" s="10" t="s">
        <v>53</v>
      </c>
      <c r="D51" s="10" t="s">
        <v>7</v>
      </c>
      <c r="E51" s="10">
        <v>0</v>
      </c>
      <c r="F51" s="10" t="s">
        <v>5</v>
      </c>
      <c r="G51" s="10">
        <v>0</v>
      </c>
      <c r="H51" s="10" t="s">
        <v>8</v>
      </c>
      <c r="I51" s="10">
        <v>4</v>
      </c>
      <c r="K51" s="2">
        <v>0.5</v>
      </c>
      <c r="L51" s="13">
        <f t="shared" si="1"/>
        <v>0.1111111111111111</v>
      </c>
      <c r="M51" s="13">
        <f>N51/Sheet1!$B51</f>
        <v>0.36</v>
      </c>
      <c r="N51" s="2">
        <f t="shared" si="0"/>
        <v>18</v>
      </c>
      <c r="O51" s="2">
        <f>IF(Sheet1!$H51="ted",1,0)</f>
        <v>1</v>
      </c>
    </row>
    <row r="52" spans="1:15" ht="15.75" customHeight="1" x14ac:dyDescent="0.2">
      <c r="A52" s="11">
        <v>42915</v>
      </c>
      <c r="B52" s="12">
        <v>51</v>
      </c>
      <c r="C52" s="10" t="s">
        <v>53</v>
      </c>
      <c r="D52" s="10" t="s">
        <v>7</v>
      </c>
      <c r="E52" s="10">
        <v>1</v>
      </c>
      <c r="F52" s="10" t="s">
        <v>5</v>
      </c>
      <c r="G52" s="10">
        <v>0</v>
      </c>
      <c r="H52" s="10" t="s">
        <v>7</v>
      </c>
      <c r="I52" s="10">
        <v>5</v>
      </c>
      <c r="K52" s="2">
        <v>0.5</v>
      </c>
      <c r="L52" s="13">
        <f t="shared" si="1"/>
        <v>0.22222222222222221</v>
      </c>
      <c r="M52" s="13">
        <f>N52/Sheet1!$B52</f>
        <v>0.37254901960784315</v>
      </c>
      <c r="N52" s="2">
        <f t="shared" si="0"/>
        <v>19</v>
      </c>
      <c r="O52" s="2">
        <f>IF(Sheet1!$H52="ted",1,0)</f>
        <v>0</v>
      </c>
    </row>
    <row r="53" spans="1:15" ht="15.75" customHeight="1" x14ac:dyDescent="0.2">
      <c r="A53" s="11">
        <v>42915</v>
      </c>
      <c r="B53" s="12">
        <v>52</v>
      </c>
      <c r="C53" s="10" t="s">
        <v>53</v>
      </c>
      <c r="D53" s="10" t="s">
        <v>7</v>
      </c>
      <c r="E53" s="10">
        <v>0</v>
      </c>
      <c r="F53" s="10" t="s">
        <v>3</v>
      </c>
      <c r="G53" s="10">
        <v>2</v>
      </c>
      <c r="H53" s="10" t="s">
        <v>8</v>
      </c>
      <c r="I53" s="10">
        <v>0</v>
      </c>
      <c r="K53" s="2">
        <v>0.5</v>
      </c>
      <c r="L53" s="13">
        <f t="shared" si="1"/>
        <v>0.22222222222222221</v>
      </c>
      <c r="M53" s="13">
        <f>N53/Sheet1!$B53</f>
        <v>0.36538461538461536</v>
      </c>
      <c r="N53" s="2">
        <f t="shared" si="0"/>
        <v>19</v>
      </c>
      <c r="O53" s="2">
        <f>IF(Sheet1!$H53="ted",1,0)</f>
        <v>1</v>
      </c>
    </row>
    <row r="54" spans="1:15" ht="15.75" customHeight="1" x14ac:dyDescent="0.2">
      <c r="A54" s="11">
        <v>42925</v>
      </c>
      <c r="B54" s="12">
        <v>53</v>
      </c>
      <c r="C54" s="10" t="s">
        <v>53</v>
      </c>
      <c r="D54" s="10" t="s">
        <v>7</v>
      </c>
      <c r="E54" s="10">
        <v>0</v>
      </c>
      <c r="F54" s="10" t="s">
        <v>3</v>
      </c>
      <c r="G54" s="10">
        <v>1</v>
      </c>
      <c r="H54" s="10" t="s">
        <v>7</v>
      </c>
      <c r="I54" s="10">
        <v>0</v>
      </c>
      <c r="K54" s="2">
        <v>0.5</v>
      </c>
      <c r="L54" s="13">
        <f t="shared" si="1"/>
        <v>0.22222222222222221</v>
      </c>
      <c r="M54" s="13">
        <f>N54/Sheet1!$B54</f>
        <v>0.35849056603773582</v>
      </c>
      <c r="N54" s="2">
        <f t="shared" si="0"/>
        <v>19</v>
      </c>
      <c r="O54" s="2">
        <f>IF(Sheet1!$H54="ted",1,0)</f>
        <v>0</v>
      </c>
    </row>
    <row r="55" spans="1:15" ht="15.75" customHeight="1" x14ac:dyDescent="0.2">
      <c r="A55" s="11">
        <v>42925</v>
      </c>
      <c r="B55" s="12">
        <v>54</v>
      </c>
      <c r="C55" s="10" t="s">
        <v>53</v>
      </c>
      <c r="D55" s="10" t="s">
        <v>7</v>
      </c>
      <c r="E55" s="10">
        <v>0</v>
      </c>
      <c r="F55" s="10" t="s">
        <v>3</v>
      </c>
      <c r="G55" s="10">
        <v>4</v>
      </c>
      <c r="H55" s="10" t="s">
        <v>8</v>
      </c>
      <c r="I55" s="10">
        <v>0</v>
      </c>
      <c r="K55" s="2">
        <v>0.5</v>
      </c>
      <c r="L55" s="13">
        <f t="shared" si="1"/>
        <v>0.1111111111111111</v>
      </c>
      <c r="M55" s="13">
        <f>N55/Sheet1!$B55</f>
        <v>0.35185185185185186</v>
      </c>
      <c r="N55" s="2">
        <f t="shared" si="0"/>
        <v>19</v>
      </c>
      <c r="O55" s="2">
        <f>IF(Sheet1!$H55="ted",1,0)</f>
        <v>1</v>
      </c>
    </row>
    <row r="56" spans="1:15" ht="15.75" customHeight="1" x14ac:dyDescent="0.2">
      <c r="A56" s="11">
        <v>42925</v>
      </c>
      <c r="B56" s="12">
        <v>55</v>
      </c>
      <c r="C56" s="10" t="s">
        <v>53</v>
      </c>
      <c r="D56" s="10" t="s">
        <v>7</v>
      </c>
      <c r="E56" s="10">
        <v>1</v>
      </c>
      <c r="F56" s="10" t="s">
        <v>4</v>
      </c>
      <c r="G56" s="10">
        <v>0</v>
      </c>
      <c r="H56" s="10" t="s">
        <v>7</v>
      </c>
      <c r="I56" s="10">
        <v>2</v>
      </c>
      <c r="K56" s="2">
        <v>0.5</v>
      </c>
      <c r="L56" s="13">
        <f t="shared" si="1"/>
        <v>0.22222222222222221</v>
      </c>
      <c r="M56" s="13">
        <f>N56/Sheet1!$B56</f>
        <v>0.36363636363636365</v>
      </c>
      <c r="N56" s="2">
        <f t="shared" si="0"/>
        <v>20</v>
      </c>
      <c r="O56" s="2">
        <f>IF(Sheet1!$H56="ted",1,0)</f>
        <v>0</v>
      </c>
    </row>
    <row r="57" spans="1:15" ht="15.75" customHeight="1" x14ac:dyDescent="0.2">
      <c r="A57" s="11">
        <v>42931</v>
      </c>
      <c r="B57" s="12">
        <v>56</v>
      </c>
      <c r="C57" s="10" t="s">
        <v>53</v>
      </c>
      <c r="D57" s="10" t="s">
        <v>7</v>
      </c>
      <c r="E57" s="10">
        <v>0</v>
      </c>
      <c r="F57" s="10" t="s">
        <v>2</v>
      </c>
      <c r="G57" s="10">
        <v>1</v>
      </c>
      <c r="H57" s="10" t="s">
        <v>8</v>
      </c>
      <c r="I57" s="10">
        <v>5</v>
      </c>
      <c r="K57" s="2">
        <v>0.5</v>
      </c>
      <c r="L57" s="13">
        <f t="shared" si="1"/>
        <v>0.22222222222222221</v>
      </c>
      <c r="M57" s="13">
        <f>N57/Sheet1!$B57</f>
        <v>0.35714285714285715</v>
      </c>
      <c r="N57" s="2">
        <f t="shared" si="0"/>
        <v>20</v>
      </c>
      <c r="O57" s="2">
        <f>IF(Sheet1!$H57="ted",1,0)</f>
        <v>1</v>
      </c>
    </row>
    <row r="58" spans="1:15" ht="15.75" customHeight="1" x14ac:dyDescent="0.2">
      <c r="A58" s="11">
        <v>42931</v>
      </c>
      <c r="B58" s="12">
        <v>57</v>
      </c>
      <c r="C58" s="10" t="s">
        <v>53</v>
      </c>
      <c r="D58" s="10" t="s">
        <v>7</v>
      </c>
      <c r="E58" s="10">
        <v>1</v>
      </c>
      <c r="F58" s="10" t="s">
        <v>2</v>
      </c>
      <c r="G58" s="10">
        <v>6</v>
      </c>
      <c r="H58" s="10" t="s">
        <v>7</v>
      </c>
      <c r="I58" s="10">
        <v>1</v>
      </c>
      <c r="K58" s="2">
        <v>0.5</v>
      </c>
      <c r="L58" s="13">
        <f t="shared" si="1"/>
        <v>0.33333333333333331</v>
      </c>
      <c r="M58" s="13">
        <f>N58/Sheet1!$B58</f>
        <v>0.36842105263157893</v>
      </c>
      <c r="N58" s="2">
        <f t="shared" si="0"/>
        <v>21</v>
      </c>
      <c r="O58" s="2">
        <f>IF(Sheet1!$H58="ted",1,0)</f>
        <v>0</v>
      </c>
    </row>
    <row r="59" spans="1:15" ht="15.75" customHeight="1" x14ac:dyDescent="0.2">
      <c r="A59" s="11">
        <v>42931</v>
      </c>
      <c r="B59" s="12">
        <v>58</v>
      </c>
      <c r="C59" s="10" t="s">
        <v>53</v>
      </c>
      <c r="D59" s="10" t="s">
        <v>7</v>
      </c>
      <c r="E59" s="10">
        <v>0</v>
      </c>
      <c r="F59" s="10" t="s">
        <v>3</v>
      </c>
      <c r="G59" s="10">
        <v>2</v>
      </c>
      <c r="H59" s="10" t="s">
        <v>8</v>
      </c>
      <c r="I59" s="10">
        <v>0</v>
      </c>
      <c r="K59" s="2">
        <v>0.5</v>
      </c>
      <c r="L59" s="13">
        <f t="shared" si="1"/>
        <v>0.33333333333333331</v>
      </c>
      <c r="M59" s="13">
        <f>N59/Sheet1!$B59</f>
        <v>0.36206896551724138</v>
      </c>
      <c r="N59" s="2">
        <f t="shared" si="0"/>
        <v>21</v>
      </c>
      <c r="O59" s="2">
        <f>IF(Sheet1!$H59="ted",1,0)</f>
        <v>1</v>
      </c>
    </row>
    <row r="60" spans="1:15" ht="15.75" customHeight="1" x14ac:dyDescent="0.2">
      <c r="A60" s="11">
        <v>42936</v>
      </c>
      <c r="B60" s="12">
        <v>59</v>
      </c>
      <c r="C60" s="10" t="s">
        <v>67</v>
      </c>
      <c r="D60" s="10" t="s">
        <v>7</v>
      </c>
      <c r="E60" s="10">
        <v>0</v>
      </c>
      <c r="F60" s="10" t="s">
        <v>4</v>
      </c>
      <c r="G60" s="10">
        <v>0</v>
      </c>
      <c r="H60" s="10" t="s">
        <v>7</v>
      </c>
      <c r="I60" s="10">
        <v>1</v>
      </c>
      <c r="K60" s="2">
        <v>0.5</v>
      </c>
      <c r="L60" s="13">
        <f t="shared" si="1"/>
        <v>0.33333333333333331</v>
      </c>
      <c r="M60" s="13">
        <f>N60/Sheet1!$B60</f>
        <v>0.3559322033898305</v>
      </c>
      <c r="N60" s="2">
        <f t="shared" si="0"/>
        <v>21</v>
      </c>
      <c r="O60" s="2">
        <f>IF(Sheet1!$H60="ted",1,0)</f>
        <v>0</v>
      </c>
    </row>
    <row r="61" spans="1:15" ht="15.75" customHeight="1" x14ac:dyDescent="0.2">
      <c r="A61" s="11">
        <v>42938</v>
      </c>
      <c r="B61" s="12">
        <v>60</v>
      </c>
      <c r="C61" s="10" t="s">
        <v>53</v>
      </c>
      <c r="D61" s="10" t="s">
        <v>7</v>
      </c>
      <c r="E61" s="10">
        <v>0</v>
      </c>
      <c r="F61" s="10" t="s">
        <v>3</v>
      </c>
      <c r="G61" s="10">
        <v>1</v>
      </c>
      <c r="H61" s="10" t="s">
        <v>7</v>
      </c>
      <c r="I61" s="10">
        <v>0</v>
      </c>
      <c r="K61" s="2">
        <v>0.5</v>
      </c>
      <c r="L61" s="13">
        <f t="shared" si="1"/>
        <v>0.22222222222222221</v>
      </c>
      <c r="M61" s="13">
        <f>N61/Sheet1!$B61</f>
        <v>0.35</v>
      </c>
      <c r="N61" s="2">
        <f t="shared" si="0"/>
        <v>21</v>
      </c>
      <c r="O61" s="2">
        <f>IF(Sheet1!$H61="ted",1,0)</f>
        <v>0</v>
      </c>
    </row>
    <row r="62" spans="1:15" ht="15.75" customHeight="1" x14ac:dyDescent="0.2">
      <c r="A62" s="11">
        <v>42938</v>
      </c>
      <c r="B62" s="12">
        <v>61</v>
      </c>
      <c r="C62" s="10" t="s">
        <v>53</v>
      </c>
      <c r="D62" s="10" t="s">
        <v>7</v>
      </c>
      <c r="E62" s="10">
        <v>0</v>
      </c>
      <c r="F62" s="10" t="s">
        <v>3</v>
      </c>
      <c r="G62" s="10">
        <v>2</v>
      </c>
      <c r="H62" s="10" t="s">
        <v>8</v>
      </c>
      <c r="I62" s="10">
        <v>0</v>
      </c>
      <c r="K62" s="2">
        <v>0.5</v>
      </c>
      <c r="L62" s="13">
        <f t="shared" si="1"/>
        <v>0.22222222222222221</v>
      </c>
      <c r="M62" s="13">
        <f>N62/Sheet1!$B62</f>
        <v>0.34426229508196721</v>
      </c>
      <c r="N62" s="2">
        <f t="shared" si="0"/>
        <v>21</v>
      </c>
      <c r="O62" s="2">
        <f>IF(Sheet1!$H62="ted",1,0)</f>
        <v>1</v>
      </c>
    </row>
    <row r="63" spans="1:15" ht="15.75" customHeight="1" x14ac:dyDescent="0.2">
      <c r="A63" s="11">
        <v>42938</v>
      </c>
      <c r="B63" s="12">
        <v>62</v>
      </c>
      <c r="C63" s="10" t="s">
        <v>53</v>
      </c>
      <c r="D63" s="10" t="s">
        <v>7</v>
      </c>
      <c r="E63" s="10">
        <v>0</v>
      </c>
      <c r="F63" s="10" t="s">
        <v>2</v>
      </c>
      <c r="G63" s="10">
        <v>5</v>
      </c>
      <c r="H63" s="10" t="s">
        <v>7</v>
      </c>
      <c r="I63" s="10">
        <v>2</v>
      </c>
      <c r="K63" s="2">
        <v>0.5</v>
      </c>
      <c r="L63" s="13">
        <f t="shared" si="1"/>
        <v>0.22222222222222221</v>
      </c>
      <c r="M63" s="13">
        <f>N63/Sheet1!$B63</f>
        <v>0.33870967741935482</v>
      </c>
      <c r="N63" s="2">
        <f t="shared" si="0"/>
        <v>21</v>
      </c>
      <c r="O63" s="2">
        <f>IF(Sheet1!$H63="ted",1,0)</f>
        <v>0</v>
      </c>
    </row>
    <row r="64" spans="1:15" ht="15.75" customHeight="1" x14ac:dyDescent="0.2">
      <c r="A64" s="11">
        <v>42938</v>
      </c>
      <c r="B64" s="12">
        <v>63</v>
      </c>
      <c r="C64" s="10" t="s">
        <v>53</v>
      </c>
      <c r="D64" s="10" t="s">
        <v>7</v>
      </c>
      <c r="E64" s="10">
        <v>1</v>
      </c>
      <c r="F64" s="10" t="s">
        <v>3</v>
      </c>
      <c r="G64" s="10">
        <v>1</v>
      </c>
      <c r="H64" s="10" t="s">
        <v>8</v>
      </c>
      <c r="I64" s="10">
        <v>0</v>
      </c>
      <c r="K64" s="2">
        <v>0.5</v>
      </c>
      <c r="L64" s="13">
        <f t="shared" si="1"/>
        <v>0.33333333333333331</v>
      </c>
      <c r="M64" s="13">
        <f>N64/Sheet1!$B64</f>
        <v>0.34920634920634919</v>
      </c>
      <c r="N64" s="2">
        <f t="shared" si="0"/>
        <v>22</v>
      </c>
      <c r="O64" s="2">
        <f>IF(Sheet1!$H64="ted",1,0)</f>
        <v>1</v>
      </c>
    </row>
    <row r="65" spans="1:15" ht="15.75" customHeight="1" x14ac:dyDescent="0.2">
      <c r="A65" s="11">
        <v>42942</v>
      </c>
      <c r="B65" s="12">
        <v>64</v>
      </c>
      <c r="C65" s="10" t="s">
        <v>53</v>
      </c>
      <c r="D65" s="10" t="s">
        <v>7</v>
      </c>
      <c r="E65" s="10">
        <v>0</v>
      </c>
      <c r="F65" s="10" t="s">
        <v>3</v>
      </c>
      <c r="G65" s="10">
        <v>0</v>
      </c>
      <c r="H65" s="10" t="s">
        <v>7</v>
      </c>
      <c r="I65" s="10">
        <v>0</v>
      </c>
      <c r="K65" s="2">
        <v>0.5</v>
      </c>
      <c r="L65" s="13">
        <f t="shared" si="1"/>
        <v>0.22222222222222221</v>
      </c>
      <c r="M65" s="13">
        <f>N65/Sheet1!$B65</f>
        <v>0.34375</v>
      </c>
      <c r="N65" s="2">
        <f t="shared" si="0"/>
        <v>22</v>
      </c>
      <c r="O65" s="2">
        <f>IF(Sheet1!$H65="ted",1,0)</f>
        <v>0</v>
      </c>
    </row>
    <row r="66" spans="1:15" ht="15.75" customHeight="1" x14ac:dyDescent="0.2">
      <c r="A66" s="11">
        <v>42953</v>
      </c>
      <c r="B66" s="12">
        <v>65</v>
      </c>
      <c r="C66" s="10" t="s">
        <v>65</v>
      </c>
      <c r="D66" s="10" t="s">
        <v>7</v>
      </c>
      <c r="E66" s="10">
        <v>0</v>
      </c>
      <c r="F66" s="10" t="s">
        <v>4</v>
      </c>
      <c r="G66" s="10">
        <v>0</v>
      </c>
      <c r="H66" s="10" t="s">
        <v>8</v>
      </c>
      <c r="I66" s="10">
        <v>1</v>
      </c>
      <c r="K66" s="2">
        <v>0.5</v>
      </c>
      <c r="L66" s="13">
        <f t="shared" si="1"/>
        <v>0.22222222222222221</v>
      </c>
      <c r="M66" s="13">
        <f>N66/Sheet1!$B66</f>
        <v>0.33846153846153848</v>
      </c>
      <c r="N66" s="2">
        <f t="shared" si="0"/>
        <v>22</v>
      </c>
      <c r="O66" s="2">
        <f>IF(Sheet1!$H66="ted",1,0)</f>
        <v>1</v>
      </c>
    </row>
    <row r="67" spans="1:15" ht="15.75" customHeight="1" x14ac:dyDescent="0.2">
      <c r="A67" s="11">
        <v>42953</v>
      </c>
      <c r="B67" s="12">
        <v>66</v>
      </c>
      <c r="C67" s="10" t="s">
        <v>65</v>
      </c>
      <c r="D67" s="10" t="s">
        <v>7</v>
      </c>
      <c r="E67" s="10">
        <v>1</v>
      </c>
      <c r="F67" s="10" t="s">
        <v>4</v>
      </c>
      <c r="G67" s="10">
        <v>0</v>
      </c>
      <c r="H67" s="10" t="s">
        <v>7</v>
      </c>
      <c r="I67" s="10">
        <v>2</v>
      </c>
      <c r="K67" s="2">
        <v>0.5</v>
      </c>
      <c r="L67" s="13">
        <f t="shared" si="1"/>
        <v>0.22222222222222221</v>
      </c>
      <c r="M67" s="13">
        <f>N67/Sheet1!$B67</f>
        <v>0.34848484848484851</v>
      </c>
      <c r="N67" s="2">
        <f t="shared" si="0"/>
        <v>23</v>
      </c>
      <c r="O67" s="2">
        <f>IF(Sheet1!$H67="ted",1,0)</f>
        <v>0</v>
      </c>
    </row>
    <row r="68" spans="1:15" ht="15.75" customHeight="1" x14ac:dyDescent="0.2">
      <c r="A68" s="11">
        <v>42953</v>
      </c>
      <c r="B68" s="12">
        <v>67</v>
      </c>
      <c r="C68" s="10" t="s">
        <v>65</v>
      </c>
      <c r="D68" s="10" t="s">
        <v>7</v>
      </c>
      <c r="E68" s="10">
        <v>1</v>
      </c>
      <c r="F68" s="10" t="s">
        <v>4</v>
      </c>
      <c r="G68" s="10">
        <v>0</v>
      </c>
      <c r="H68" s="10" t="s">
        <v>8</v>
      </c>
      <c r="I68" s="10">
        <v>4</v>
      </c>
      <c r="K68" s="2">
        <v>0.5</v>
      </c>
      <c r="L68" s="13">
        <f t="shared" si="1"/>
        <v>0.33333333333333331</v>
      </c>
      <c r="M68" s="13">
        <f>N68/Sheet1!$B68</f>
        <v>0.35820895522388058</v>
      </c>
      <c r="N68" s="2">
        <f t="shared" si="0"/>
        <v>24</v>
      </c>
      <c r="O68" s="2">
        <f>IF(Sheet1!$H68="ted",1,0)</f>
        <v>1</v>
      </c>
    </row>
    <row r="69" spans="1:15" ht="15.75" customHeight="1" x14ac:dyDescent="0.2">
      <c r="A69" s="11">
        <v>42959</v>
      </c>
      <c r="B69" s="12">
        <v>68</v>
      </c>
      <c r="C69" s="10" t="s">
        <v>69</v>
      </c>
      <c r="D69" s="10" t="s">
        <v>7</v>
      </c>
      <c r="E69" s="10">
        <v>1</v>
      </c>
      <c r="F69" s="10" t="s">
        <v>3</v>
      </c>
      <c r="G69" s="10">
        <v>0</v>
      </c>
      <c r="H69" s="10" t="s">
        <v>7</v>
      </c>
      <c r="I69" s="10">
        <v>0</v>
      </c>
      <c r="K69" s="2">
        <v>0.5</v>
      </c>
      <c r="L69" s="13">
        <f t="shared" si="1"/>
        <v>0.44444444444444442</v>
      </c>
      <c r="M69" s="13">
        <f>N69/Sheet1!$B69</f>
        <v>0.36764705882352944</v>
      </c>
      <c r="N69" s="2">
        <f t="shared" si="0"/>
        <v>25</v>
      </c>
      <c r="O69" s="2">
        <f>IF(Sheet1!$H69="ted",1,0)</f>
        <v>0</v>
      </c>
    </row>
    <row r="70" spans="1:15" ht="15.75" customHeight="1" x14ac:dyDescent="0.2">
      <c r="A70" s="11">
        <v>42959</v>
      </c>
      <c r="B70" s="12">
        <v>69</v>
      </c>
      <c r="C70" s="10" t="s">
        <v>69</v>
      </c>
      <c r="D70" s="10" t="s">
        <v>70</v>
      </c>
      <c r="E70" s="10">
        <v>1</v>
      </c>
      <c r="F70" s="10" t="s">
        <v>3</v>
      </c>
      <c r="G70" s="10">
        <v>0</v>
      </c>
      <c r="H70" s="10" t="s">
        <v>8</v>
      </c>
      <c r="I70" s="10">
        <v>0</v>
      </c>
      <c r="K70" s="2">
        <v>0.5</v>
      </c>
      <c r="L70" s="13">
        <f t="shared" si="1"/>
        <v>0.55555555555555558</v>
      </c>
      <c r="M70" s="13">
        <f>N70/Sheet1!$B70</f>
        <v>0.37681159420289856</v>
      </c>
      <c r="N70" s="2">
        <f t="shared" si="0"/>
        <v>26</v>
      </c>
      <c r="O70" s="2">
        <f>IF(Sheet1!$H70="ted",1,0)</f>
        <v>1</v>
      </c>
    </row>
    <row r="71" spans="1:15" ht="15.75" customHeight="1" x14ac:dyDescent="0.2">
      <c r="A71" s="11">
        <v>42964</v>
      </c>
      <c r="B71" s="12">
        <v>70</v>
      </c>
      <c r="C71" s="10" t="s">
        <v>65</v>
      </c>
      <c r="D71" s="10" t="s">
        <v>57</v>
      </c>
      <c r="E71" s="10">
        <v>0</v>
      </c>
      <c r="F71" s="10" t="s">
        <v>3</v>
      </c>
      <c r="G71" s="10">
        <v>1</v>
      </c>
      <c r="H71" s="10" t="s">
        <v>57</v>
      </c>
      <c r="I71" s="10">
        <v>0</v>
      </c>
      <c r="K71" s="2">
        <v>0.5</v>
      </c>
      <c r="L71" s="13">
        <f t="shared" si="1"/>
        <v>0.55555555555555558</v>
      </c>
      <c r="M71" s="13">
        <f>N71/Sheet1!$B71</f>
        <v>0.37142857142857144</v>
      </c>
      <c r="N71" s="2">
        <f t="shared" si="0"/>
        <v>26</v>
      </c>
      <c r="O71" s="2">
        <f>IF(Sheet1!$H71="ted",1,0)</f>
        <v>0</v>
      </c>
    </row>
    <row r="72" spans="1:15" ht="15.75" customHeight="1" x14ac:dyDescent="0.2">
      <c r="A72" s="11">
        <v>42964</v>
      </c>
      <c r="B72" s="12">
        <v>71</v>
      </c>
      <c r="C72" s="10" t="s">
        <v>65</v>
      </c>
      <c r="D72" s="10" t="s">
        <v>57</v>
      </c>
      <c r="E72" s="10">
        <v>1</v>
      </c>
      <c r="F72" s="10" t="s">
        <v>4</v>
      </c>
      <c r="G72" s="10">
        <v>0</v>
      </c>
      <c r="H72" s="10" t="s">
        <v>8</v>
      </c>
      <c r="I72" s="10">
        <v>3</v>
      </c>
      <c r="K72" s="2">
        <v>0.5</v>
      </c>
      <c r="L72" s="13">
        <f t="shared" si="1"/>
        <v>0.66666666666666663</v>
      </c>
      <c r="M72" s="13">
        <f>N72/Sheet1!$B72</f>
        <v>0.38028169014084506</v>
      </c>
      <c r="N72" s="2">
        <f t="shared" si="0"/>
        <v>27</v>
      </c>
      <c r="O72" s="2">
        <f>IF(Sheet1!$H72="ted",1,0)</f>
        <v>1</v>
      </c>
    </row>
    <row r="73" spans="1:15" ht="15.75" customHeight="1" x14ac:dyDescent="0.2">
      <c r="A73" s="11">
        <v>42964</v>
      </c>
      <c r="B73" s="12">
        <v>72</v>
      </c>
      <c r="C73" s="10" t="s">
        <v>65</v>
      </c>
      <c r="D73" s="10" t="s">
        <v>57</v>
      </c>
      <c r="E73" s="10">
        <v>1</v>
      </c>
      <c r="F73" s="10" t="s">
        <v>3</v>
      </c>
      <c r="G73" s="10">
        <v>1</v>
      </c>
      <c r="H73" s="10" t="s">
        <v>57</v>
      </c>
      <c r="I73" s="10">
        <v>0</v>
      </c>
      <c r="K73" s="2">
        <v>0.5</v>
      </c>
      <c r="L73" s="13">
        <f t="shared" si="1"/>
        <v>0.66666666666666663</v>
      </c>
      <c r="M73" s="13">
        <f>N73/Sheet1!$B73</f>
        <v>0.3888888888888889</v>
      </c>
      <c r="N73" s="2">
        <f t="shared" si="0"/>
        <v>28</v>
      </c>
      <c r="O73" s="2">
        <f>IF(Sheet1!$H73="ted",1,0)</f>
        <v>0</v>
      </c>
    </row>
    <row r="74" spans="1:15" ht="15.75" customHeight="1" x14ac:dyDescent="0.2">
      <c r="A74" s="11">
        <v>42964</v>
      </c>
      <c r="B74" s="12">
        <v>73</v>
      </c>
      <c r="C74" s="10" t="s">
        <v>65</v>
      </c>
      <c r="D74" s="10" t="s">
        <v>57</v>
      </c>
      <c r="E74" s="10">
        <v>1</v>
      </c>
      <c r="F74" s="10" t="s">
        <v>3</v>
      </c>
      <c r="G74" s="10">
        <v>4</v>
      </c>
      <c r="H74" s="10" t="s">
        <v>8</v>
      </c>
      <c r="I74" s="10">
        <v>0</v>
      </c>
      <c r="K74" s="2">
        <v>0.5</v>
      </c>
      <c r="L74" s="13">
        <f t="shared" si="1"/>
        <v>0.77777777777777779</v>
      </c>
      <c r="M74" s="13">
        <f>N74/Sheet1!$B74</f>
        <v>0.39726027397260272</v>
      </c>
      <c r="N74" s="2">
        <f t="shared" si="0"/>
        <v>29</v>
      </c>
      <c r="O74" s="2">
        <f>IF(Sheet1!$H74="ted",1,0)</f>
        <v>1</v>
      </c>
    </row>
    <row r="75" spans="1:15" ht="15.75" customHeight="1" x14ac:dyDescent="0.2">
      <c r="A75" s="11">
        <v>42966</v>
      </c>
      <c r="B75" s="12">
        <v>74</v>
      </c>
      <c r="C75" s="10" t="s">
        <v>53</v>
      </c>
      <c r="D75" s="10" t="s">
        <v>71</v>
      </c>
      <c r="E75" s="10">
        <v>0</v>
      </c>
      <c r="F75" s="10" t="s">
        <v>64</v>
      </c>
      <c r="G75" s="10" t="s">
        <v>7</v>
      </c>
      <c r="H75" s="10" t="s">
        <v>8</v>
      </c>
      <c r="I75" s="10" t="s">
        <v>60</v>
      </c>
      <c r="K75" s="2">
        <v>0.5</v>
      </c>
      <c r="L75" s="13">
        <f t="shared" si="1"/>
        <v>0.77777777777777779</v>
      </c>
      <c r="M75" s="13">
        <f>N75/Sheet1!$B75</f>
        <v>0.39189189189189189</v>
      </c>
      <c r="N75" s="2">
        <f t="shared" si="0"/>
        <v>29</v>
      </c>
      <c r="O75" s="2">
        <f>IF(Sheet1!$H75="ted",1,0)</f>
        <v>1</v>
      </c>
    </row>
    <row r="76" spans="1:15" ht="15.75" customHeight="1" x14ac:dyDescent="0.2">
      <c r="A76" s="11">
        <v>42966</v>
      </c>
      <c r="B76" s="12">
        <v>75</v>
      </c>
      <c r="C76" s="10" t="s">
        <v>53</v>
      </c>
      <c r="D76" s="10" t="s">
        <v>71</v>
      </c>
      <c r="E76" s="10">
        <v>1</v>
      </c>
      <c r="F76" s="10" t="s">
        <v>64</v>
      </c>
      <c r="G76" s="10" t="s">
        <v>7</v>
      </c>
      <c r="H76" s="10" t="s">
        <v>60</v>
      </c>
      <c r="I76" s="10" t="s">
        <v>8</v>
      </c>
      <c r="K76" s="2">
        <v>0.5</v>
      </c>
      <c r="L76" s="13">
        <f t="shared" si="1"/>
        <v>0.77777777777777779</v>
      </c>
      <c r="M76" s="13">
        <f>N76/Sheet1!$B76</f>
        <v>0.4</v>
      </c>
      <c r="N76" s="2">
        <f t="shared" si="0"/>
        <v>30</v>
      </c>
      <c r="O76" s="2">
        <f>IF(Sheet1!$H76="ted",1,0)</f>
        <v>0</v>
      </c>
    </row>
    <row r="77" spans="1:15" ht="15.75" customHeight="1" x14ac:dyDescent="0.2">
      <c r="A77" s="11">
        <v>42966</v>
      </c>
      <c r="B77" s="12">
        <v>76</v>
      </c>
      <c r="C77" s="10" t="s">
        <v>53</v>
      </c>
      <c r="D77" s="10" t="s">
        <v>71</v>
      </c>
      <c r="E77" s="10">
        <v>1</v>
      </c>
      <c r="F77" s="10" t="s">
        <v>64</v>
      </c>
      <c r="G77" s="10" t="s">
        <v>7</v>
      </c>
      <c r="H77" s="10" t="s">
        <v>8</v>
      </c>
      <c r="I77" s="10" t="s">
        <v>8</v>
      </c>
      <c r="K77" s="2">
        <v>0.5</v>
      </c>
      <c r="L77" s="13">
        <f t="shared" si="1"/>
        <v>0.77777777777777779</v>
      </c>
      <c r="M77" s="13">
        <f>N77/Sheet1!$B77</f>
        <v>0.40789473684210525</v>
      </c>
      <c r="N77" s="2">
        <f t="shared" si="0"/>
        <v>31</v>
      </c>
      <c r="O77" s="2">
        <f>IF(Sheet1!$H77="ted",1,0)</f>
        <v>1</v>
      </c>
    </row>
    <row r="78" spans="1:15" ht="15.75" customHeight="1" x14ac:dyDescent="0.2">
      <c r="A78" s="11">
        <v>42967</v>
      </c>
      <c r="B78" s="12">
        <v>77</v>
      </c>
      <c r="C78" s="10" t="s">
        <v>65</v>
      </c>
      <c r="D78" s="10" t="s">
        <v>7</v>
      </c>
      <c r="E78" s="10">
        <v>1</v>
      </c>
      <c r="F78" s="10" t="s">
        <v>3</v>
      </c>
      <c r="G78" s="10">
        <v>0</v>
      </c>
      <c r="H78" s="10" t="s">
        <v>8</v>
      </c>
      <c r="I78" s="10">
        <v>0</v>
      </c>
      <c r="K78" s="2">
        <v>0.5</v>
      </c>
      <c r="L78" s="13">
        <f t="shared" si="1"/>
        <v>0.77777777777777779</v>
      </c>
      <c r="M78" s="13">
        <f>N78/Sheet1!$B78</f>
        <v>0.41558441558441561</v>
      </c>
      <c r="N78" s="2">
        <f t="shared" si="0"/>
        <v>32</v>
      </c>
      <c r="O78" s="2">
        <f>IF(Sheet1!$H78="ted",1,0)</f>
        <v>1</v>
      </c>
    </row>
    <row r="79" spans="1:15" ht="15.75" customHeight="1" x14ac:dyDescent="0.2">
      <c r="A79" s="11">
        <v>42967</v>
      </c>
      <c r="B79" s="12">
        <v>78</v>
      </c>
      <c r="C79" s="10" t="s">
        <v>65</v>
      </c>
      <c r="D79" s="10" t="s">
        <v>7</v>
      </c>
      <c r="E79" s="10">
        <v>0</v>
      </c>
      <c r="F79" s="10" t="s">
        <v>4</v>
      </c>
      <c r="G79" s="10">
        <v>0</v>
      </c>
      <c r="H79" s="10" t="s">
        <v>7</v>
      </c>
      <c r="I79" s="10">
        <v>1</v>
      </c>
      <c r="K79" s="2">
        <v>0.5</v>
      </c>
      <c r="L79" s="13">
        <f t="shared" si="1"/>
        <v>0.66666666666666663</v>
      </c>
      <c r="M79" s="13">
        <f>N79/Sheet1!$B79</f>
        <v>0.41025641025641024</v>
      </c>
      <c r="N79" s="2">
        <f t="shared" si="0"/>
        <v>32</v>
      </c>
      <c r="O79" s="2">
        <f>IF(Sheet1!$H79="ted",1,0)</f>
        <v>0</v>
      </c>
    </row>
    <row r="80" spans="1:15" ht="15.75" customHeight="1" x14ac:dyDescent="0.2">
      <c r="A80" s="11">
        <v>42967</v>
      </c>
      <c r="B80" s="12">
        <v>79</v>
      </c>
      <c r="C80" s="10" t="s">
        <v>65</v>
      </c>
      <c r="D80" s="10" t="s">
        <v>7</v>
      </c>
      <c r="E80" s="10">
        <v>1</v>
      </c>
      <c r="F80" s="10" t="s">
        <v>3</v>
      </c>
      <c r="G80" s="10">
        <v>0</v>
      </c>
      <c r="H80" s="10" t="s">
        <v>8</v>
      </c>
      <c r="I80" s="10">
        <v>0</v>
      </c>
      <c r="K80" s="2">
        <v>0.5</v>
      </c>
      <c r="L80" s="13">
        <f t="shared" si="1"/>
        <v>0.77777777777777779</v>
      </c>
      <c r="M80" s="13">
        <f>N80/Sheet1!$B80</f>
        <v>0.41772151898734178</v>
      </c>
      <c r="N80" s="2">
        <f t="shared" si="0"/>
        <v>33</v>
      </c>
      <c r="O80" s="2">
        <f>IF(Sheet1!$H80="ted",1,0)</f>
        <v>1</v>
      </c>
    </row>
    <row r="81" spans="1:15" ht="15.75" customHeight="1" x14ac:dyDescent="0.2">
      <c r="A81" s="11">
        <v>42967</v>
      </c>
      <c r="B81" s="12">
        <v>80</v>
      </c>
      <c r="C81" s="10" t="s">
        <v>65</v>
      </c>
      <c r="D81" s="10" t="s">
        <v>7</v>
      </c>
      <c r="E81" s="10">
        <v>0</v>
      </c>
      <c r="F81" s="10" t="s">
        <v>3</v>
      </c>
      <c r="G81" s="10">
        <v>3</v>
      </c>
      <c r="H81" s="10" t="s">
        <v>7</v>
      </c>
      <c r="I81" s="10">
        <v>0</v>
      </c>
      <c r="K81" s="2">
        <v>0.5</v>
      </c>
      <c r="L81" s="13">
        <f t="shared" si="1"/>
        <v>0.66666666666666663</v>
      </c>
      <c r="M81" s="13">
        <f>N81/Sheet1!$B81</f>
        <v>0.41249999999999998</v>
      </c>
      <c r="N81" s="2">
        <f t="shared" si="0"/>
        <v>33</v>
      </c>
      <c r="O81" s="2">
        <f>IF(Sheet1!$H81="ted",1,0)</f>
        <v>0</v>
      </c>
    </row>
    <row r="82" spans="1:15" ht="15.75" customHeight="1" x14ac:dyDescent="0.2">
      <c r="A82" s="11">
        <v>42967</v>
      </c>
      <c r="B82" s="12">
        <v>81</v>
      </c>
      <c r="C82" s="10" t="s">
        <v>65</v>
      </c>
      <c r="D82" s="10" t="s">
        <v>7</v>
      </c>
      <c r="E82" s="10">
        <v>1</v>
      </c>
      <c r="F82" s="10" t="s">
        <v>2</v>
      </c>
      <c r="G82" s="10">
        <v>3</v>
      </c>
      <c r="H82" s="10" t="s">
        <v>8</v>
      </c>
      <c r="I82" s="10">
        <v>6</v>
      </c>
      <c r="K82" s="2">
        <v>0.5</v>
      </c>
      <c r="L82" s="13">
        <f t="shared" si="1"/>
        <v>0.66666666666666663</v>
      </c>
      <c r="M82" s="13">
        <f>N82/Sheet1!$B82</f>
        <v>0.41975308641975306</v>
      </c>
      <c r="N82" s="2">
        <f t="shared" si="0"/>
        <v>34</v>
      </c>
      <c r="O82" s="2">
        <f>IF(Sheet1!$H82="ted",1,0)</f>
        <v>1</v>
      </c>
    </row>
    <row r="83" spans="1:15" ht="15.75" customHeight="1" x14ac:dyDescent="0.2">
      <c r="A83" s="11">
        <v>42967</v>
      </c>
      <c r="B83" s="12">
        <v>82</v>
      </c>
      <c r="C83" s="10" t="s">
        <v>65</v>
      </c>
      <c r="D83" s="10" t="s">
        <v>7</v>
      </c>
      <c r="E83" s="10">
        <v>0</v>
      </c>
      <c r="F83" s="10" t="s">
        <v>3</v>
      </c>
      <c r="G83" s="10">
        <v>1</v>
      </c>
      <c r="H83" s="10" t="s">
        <v>7</v>
      </c>
      <c r="I83" s="10">
        <v>0</v>
      </c>
      <c r="K83" s="2">
        <v>0.5</v>
      </c>
      <c r="L83" s="13">
        <f t="shared" si="1"/>
        <v>0.55555555555555558</v>
      </c>
      <c r="M83" s="13">
        <f>N83/Sheet1!$B83</f>
        <v>0.41463414634146339</v>
      </c>
      <c r="N83" s="2">
        <f t="shared" si="0"/>
        <v>34</v>
      </c>
      <c r="O83" s="2">
        <f>IF(Sheet1!$H83="ted",1,0)</f>
        <v>0</v>
      </c>
    </row>
    <row r="84" spans="1:15" ht="15.75" customHeight="1" x14ac:dyDescent="0.2">
      <c r="A84" s="11">
        <v>42970</v>
      </c>
      <c r="B84" s="12">
        <v>83</v>
      </c>
      <c r="C84" s="10" t="s">
        <v>53</v>
      </c>
      <c r="D84" s="10" t="s">
        <v>7</v>
      </c>
      <c r="E84" s="10">
        <v>1</v>
      </c>
      <c r="F84" s="10" t="s">
        <v>3</v>
      </c>
      <c r="G84" s="10">
        <v>0</v>
      </c>
      <c r="H84" s="10" t="s">
        <v>7</v>
      </c>
      <c r="I84" s="10">
        <v>0</v>
      </c>
      <c r="K84" s="2">
        <v>0.5</v>
      </c>
      <c r="L84" s="13">
        <f t="shared" si="1"/>
        <v>0.66666666666666663</v>
      </c>
      <c r="M84" s="13">
        <f>N84/Sheet1!$B84</f>
        <v>0.42168674698795183</v>
      </c>
      <c r="N84" s="2">
        <f t="shared" si="0"/>
        <v>35</v>
      </c>
      <c r="O84" s="2">
        <f>IF(Sheet1!$H84="ted",1,0)</f>
        <v>0</v>
      </c>
    </row>
    <row r="85" spans="1:15" ht="15.75" customHeight="1" x14ac:dyDescent="0.2">
      <c r="A85" s="11">
        <v>42970</v>
      </c>
      <c r="B85" s="12">
        <v>84</v>
      </c>
      <c r="C85" s="10" t="s">
        <v>53</v>
      </c>
      <c r="D85" s="10" t="s">
        <v>7</v>
      </c>
      <c r="E85" s="10">
        <v>0</v>
      </c>
      <c r="F85" s="10" t="s">
        <v>3</v>
      </c>
      <c r="G85" s="10">
        <v>2</v>
      </c>
      <c r="H85" s="10" t="s">
        <v>8</v>
      </c>
      <c r="I85" s="10">
        <v>0</v>
      </c>
      <c r="K85" s="2">
        <v>0.5</v>
      </c>
      <c r="L85" s="13">
        <f t="shared" si="1"/>
        <v>0.55555555555555558</v>
      </c>
      <c r="M85" s="13">
        <f>N85/Sheet1!$B85</f>
        <v>0.41666666666666669</v>
      </c>
      <c r="N85" s="2">
        <f t="shared" si="0"/>
        <v>35</v>
      </c>
      <c r="O85" s="2">
        <f>IF(Sheet1!$H85="ted",1,0)</f>
        <v>1</v>
      </c>
    </row>
    <row r="86" spans="1:15" ht="15.75" customHeight="1" x14ac:dyDescent="0.2">
      <c r="A86" s="11">
        <v>42970</v>
      </c>
      <c r="B86" s="12">
        <v>85</v>
      </c>
      <c r="C86" s="10" t="s">
        <v>53</v>
      </c>
      <c r="D86" s="10" t="s">
        <v>7</v>
      </c>
      <c r="E86" s="10">
        <v>0</v>
      </c>
      <c r="F86" s="10" t="s">
        <v>3</v>
      </c>
      <c r="G86" s="10">
        <v>0</v>
      </c>
      <c r="H86" s="10" t="s">
        <v>7</v>
      </c>
      <c r="I86" s="10">
        <v>0</v>
      </c>
      <c r="K86" s="2">
        <v>0.5</v>
      </c>
      <c r="L86" s="13">
        <f t="shared" si="1"/>
        <v>0.44444444444444442</v>
      </c>
      <c r="M86" s="13">
        <f>N86/Sheet1!$B86</f>
        <v>0.41176470588235292</v>
      </c>
      <c r="N86" s="2">
        <f t="shared" si="0"/>
        <v>35</v>
      </c>
      <c r="O86" s="2">
        <f>IF(Sheet1!$H86="ted",1,0)</f>
        <v>0</v>
      </c>
    </row>
    <row r="87" spans="1:15" ht="15.75" customHeight="1" x14ac:dyDescent="0.2">
      <c r="A87" s="11">
        <v>42970</v>
      </c>
      <c r="B87" s="12">
        <v>86</v>
      </c>
      <c r="C87" s="10" t="s">
        <v>53</v>
      </c>
      <c r="D87" s="10" t="s">
        <v>7</v>
      </c>
      <c r="E87" s="10">
        <v>1</v>
      </c>
      <c r="F87" s="10" t="s">
        <v>3</v>
      </c>
      <c r="G87" s="10">
        <v>1</v>
      </c>
      <c r="H87" s="10" t="s">
        <v>8</v>
      </c>
      <c r="I87" s="10">
        <v>0</v>
      </c>
      <c r="K87" s="2">
        <v>0.5</v>
      </c>
      <c r="L87" s="13">
        <f t="shared" si="1"/>
        <v>0.44444444444444442</v>
      </c>
      <c r="M87" s="13">
        <f>N87/Sheet1!$B87</f>
        <v>0.41860465116279072</v>
      </c>
      <c r="N87" s="2">
        <f t="shared" si="0"/>
        <v>36</v>
      </c>
      <c r="O87" s="2">
        <f>IF(Sheet1!$H87="ted",1,0)</f>
        <v>1</v>
      </c>
    </row>
    <row r="88" spans="1:15" ht="15.75" customHeight="1" x14ac:dyDescent="0.2">
      <c r="A88" s="11">
        <v>42974</v>
      </c>
      <c r="B88" s="12">
        <v>87</v>
      </c>
      <c r="C88" s="10" t="s">
        <v>53</v>
      </c>
      <c r="D88" s="10" t="s">
        <v>7</v>
      </c>
      <c r="E88" s="10">
        <v>0</v>
      </c>
      <c r="F88" s="10" t="s">
        <v>3</v>
      </c>
      <c r="G88" s="10">
        <v>0</v>
      </c>
      <c r="H88" s="10" t="s">
        <v>7</v>
      </c>
      <c r="I88" s="10">
        <v>0</v>
      </c>
      <c r="K88" s="2">
        <v>0.5</v>
      </c>
      <c r="L88" s="13">
        <f t="shared" si="1"/>
        <v>0.44444444444444442</v>
      </c>
      <c r="M88" s="13">
        <f>N88/Sheet1!$B88</f>
        <v>0.41379310344827586</v>
      </c>
      <c r="N88" s="2">
        <f t="shared" si="0"/>
        <v>36</v>
      </c>
      <c r="O88" s="2">
        <f>IF(Sheet1!$H88="ted",1,0)</f>
        <v>0</v>
      </c>
    </row>
    <row r="89" spans="1:15" ht="15.75" customHeight="1" x14ac:dyDescent="0.2">
      <c r="A89" s="11">
        <v>42974</v>
      </c>
      <c r="B89" s="12">
        <v>88</v>
      </c>
      <c r="C89" s="10" t="s">
        <v>53</v>
      </c>
      <c r="D89" s="10" t="s">
        <v>7</v>
      </c>
      <c r="E89" s="10">
        <v>0</v>
      </c>
      <c r="F89" s="10" t="s">
        <v>2</v>
      </c>
      <c r="G89" s="10">
        <v>7</v>
      </c>
      <c r="H89" s="10" t="s">
        <v>8</v>
      </c>
      <c r="I89" s="10">
        <v>4</v>
      </c>
      <c r="K89" s="2">
        <v>0.5</v>
      </c>
      <c r="L89" s="13">
        <f t="shared" si="1"/>
        <v>0.33333333333333331</v>
      </c>
      <c r="M89" s="13">
        <f>N89/Sheet1!$B89</f>
        <v>0.40909090909090912</v>
      </c>
      <c r="N89" s="2">
        <f t="shared" si="0"/>
        <v>36</v>
      </c>
      <c r="O89" s="2">
        <f>IF(Sheet1!$H89="ted",1,0)</f>
        <v>1</v>
      </c>
    </row>
    <row r="90" spans="1:15" ht="15.75" customHeight="1" x14ac:dyDescent="0.2">
      <c r="A90" s="11">
        <v>42974</v>
      </c>
      <c r="B90" s="12">
        <v>89</v>
      </c>
      <c r="C90" s="10" t="s">
        <v>53</v>
      </c>
      <c r="D90" s="10" t="s">
        <v>7</v>
      </c>
      <c r="E90" s="10">
        <v>0</v>
      </c>
      <c r="F90" s="10" t="s">
        <v>3</v>
      </c>
      <c r="G90" s="10">
        <v>1</v>
      </c>
      <c r="H90" s="10" t="s">
        <v>7</v>
      </c>
      <c r="I90" s="10">
        <v>0</v>
      </c>
      <c r="K90" s="2">
        <v>0.5</v>
      </c>
      <c r="L90" s="13">
        <f t="shared" si="1"/>
        <v>0.33333333333333331</v>
      </c>
      <c r="M90" s="13">
        <f>N90/Sheet1!$B90</f>
        <v>0.4044943820224719</v>
      </c>
      <c r="N90" s="2">
        <f t="shared" si="0"/>
        <v>36</v>
      </c>
      <c r="O90" s="2">
        <f>IF(Sheet1!$H90="ted",1,0)</f>
        <v>0</v>
      </c>
    </row>
    <row r="91" spans="1:15" ht="15.75" customHeight="1" x14ac:dyDescent="0.2">
      <c r="A91" s="11">
        <v>42982</v>
      </c>
      <c r="B91" s="12">
        <v>90</v>
      </c>
      <c r="C91" s="10" t="s">
        <v>53</v>
      </c>
      <c r="D91" s="10" t="s">
        <v>7</v>
      </c>
      <c r="E91" s="10">
        <v>1</v>
      </c>
      <c r="F91" s="10" t="s">
        <v>4</v>
      </c>
      <c r="G91" s="10">
        <v>0</v>
      </c>
      <c r="H91" s="10" t="s">
        <v>8</v>
      </c>
      <c r="I91" s="10">
        <v>1</v>
      </c>
      <c r="K91" s="2">
        <v>0.5</v>
      </c>
      <c r="L91" s="13">
        <f t="shared" si="1"/>
        <v>0.33333333333333331</v>
      </c>
      <c r="M91" s="13">
        <f>N91/Sheet1!$B91</f>
        <v>0.41111111111111109</v>
      </c>
      <c r="N91" s="2">
        <f t="shared" si="0"/>
        <v>37</v>
      </c>
      <c r="O91" s="2">
        <f>IF(Sheet1!$H91="ted",1,0)</f>
        <v>1</v>
      </c>
    </row>
    <row r="92" spans="1:15" ht="15.75" customHeight="1" x14ac:dyDescent="0.2">
      <c r="A92" s="11">
        <v>42982</v>
      </c>
      <c r="B92" s="12">
        <v>91</v>
      </c>
      <c r="C92" s="10" t="s">
        <v>53</v>
      </c>
      <c r="D92" s="10" t="s">
        <v>7</v>
      </c>
      <c r="E92" s="10">
        <v>1</v>
      </c>
      <c r="F92" s="10" t="s">
        <v>3</v>
      </c>
      <c r="G92" s="10">
        <v>0</v>
      </c>
      <c r="H92" s="10" t="s">
        <v>7</v>
      </c>
      <c r="I92" s="10">
        <v>1</v>
      </c>
      <c r="K92" s="2">
        <v>0.5</v>
      </c>
      <c r="L92" s="13">
        <f t="shared" si="1"/>
        <v>0.44444444444444442</v>
      </c>
      <c r="M92" s="13">
        <f>N92/Sheet1!$B92</f>
        <v>0.4175824175824176</v>
      </c>
      <c r="N92" s="2">
        <f t="shared" si="0"/>
        <v>38</v>
      </c>
      <c r="O92" s="2">
        <f>IF(Sheet1!$H92="ted",1,0)</f>
        <v>0</v>
      </c>
    </row>
    <row r="93" spans="1:15" ht="15.75" customHeight="1" x14ac:dyDescent="0.2">
      <c r="A93" s="11">
        <v>42982</v>
      </c>
      <c r="B93" s="12">
        <v>92</v>
      </c>
      <c r="C93" s="10" t="s">
        <v>53</v>
      </c>
      <c r="D93" s="10" t="s">
        <v>7</v>
      </c>
      <c r="E93" s="10">
        <v>0</v>
      </c>
      <c r="F93" s="10" t="s">
        <v>3</v>
      </c>
      <c r="G93" s="10">
        <v>3</v>
      </c>
      <c r="H93" s="10" t="s">
        <v>8</v>
      </c>
      <c r="I93" s="10">
        <v>0</v>
      </c>
      <c r="K93" s="2">
        <v>0.5</v>
      </c>
      <c r="L93" s="13">
        <f t="shared" si="1"/>
        <v>0.33333333333333331</v>
      </c>
      <c r="M93" s="13">
        <f>N93/Sheet1!$B93</f>
        <v>0.41304347826086957</v>
      </c>
      <c r="N93" s="2">
        <f t="shared" si="0"/>
        <v>38</v>
      </c>
      <c r="O93" s="2">
        <f>IF(Sheet1!$H93="ted",1,0)</f>
        <v>1</v>
      </c>
    </row>
    <row r="94" spans="1:15" ht="15.75" customHeight="1" x14ac:dyDescent="0.2">
      <c r="A94" s="11">
        <v>42986</v>
      </c>
      <c r="B94" s="12">
        <v>93</v>
      </c>
      <c r="C94" s="10" t="s">
        <v>53</v>
      </c>
      <c r="D94" s="10" t="s">
        <v>7</v>
      </c>
      <c r="E94" s="10">
        <v>0</v>
      </c>
      <c r="F94" s="10" t="s">
        <v>3</v>
      </c>
      <c r="G94" s="10">
        <v>0</v>
      </c>
      <c r="H94" s="10" t="s">
        <v>8</v>
      </c>
      <c r="I94" s="10">
        <v>0</v>
      </c>
      <c r="K94" s="2">
        <v>0.5</v>
      </c>
      <c r="L94" s="13">
        <f t="shared" si="1"/>
        <v>0.33333333333333331</v>
      </c>
      <c r="M94" s="13">
        <f>N94/Sheet1!$B94</f>
        <v>0.40860215053763443</v>
      </c>
      <c r="N94" s="2">
        <f t="shared" si="0"/>
        <v>38</v>
      </c>
      <c r="O94" s="2">
        <f>IF(Sheet1!$H94="ted",1,0)</f>
        <v>1</v>
      </c>
    </row>
    <row r="95" spans="1:15" ht="15.75" customHeight="1" x14ac:dyDescent="0.2">
      <c r="A95" s="11">
        <v>42986</v>
      </c>
      <c r="B95" s="12">
        <v>94</v>
      </c>
      <c r="C95" s="10" t="s">
        <v>53</v>
      </c>
      <c r="D95" s="10" t="s">
        <v>7</v>
      </c>
      <c r="E95" s="10">
        <v>0</v>
      </c>
      <c r="F95" s="10" t="s">
        <v>2</v>
      </c>
      <c r="G95" s="10">
        <v>5</v>
      </c>
      <c r="H95" s="10" t="s">
        <v>7</v>
      </c>
      <c r="I95" s="10">
        <v>5</v>
      </c>
      <c r="K95" s="2">
        <v>0.5</v>
      </c>
      <c r="L95" s="13">
        <f t="shared" si="1"/>
        <v>0.33333333333333331</v>
      </c>
      <c r="M95" s="13">
        <f>N95/Sheet1!$B95</f>
        <v>0.40425531914893614</v>
      </c>
      <c r="N95" s="2">
        <f t="shared" si="0"/>
        <v>38</v>
      </c>
      <c r="O95" s="2">
        <f>IF(Sheet1!$H95="ted",1,0)</f>
        <v>0</v>
      </c>
    </row>
    <row r="96" spans="1:15" ht="15.75" customHeight="1" x14ac:dyDescent="0.2">
      <c r="A96" s="11">
        <v>42986</v>
      </c>
      <c r="B96" s="12">
        <v>95</v>
      </c>
      <c r="C96" s="10" t="s">
        <v>53</v>
      </c>
      <c r="D96" s="10" t="s">
        <v>7</v>
      </c>
      <c r="E96" s="10">
        <v>0</v>
      </c>
      <c r="F96" s="10" t="s">
        <v>3</v>
      </c>
      <c r="G96" s="10">
        <v>0</v>
      </c>
      <c r="H96" s="10" t="s">
        <v>8</v>
      </c>
      <c r="I96" s="10">
        <v>0</v>
      </c>
      <c r="K96" s="2">
        <v>0.5</v>
      </c>
      <c r="L96" s="13">
        <f t="shared" si="1"/>
        <v>0.22222222222222221</v>
      </c>
      <c r="M96" s="13">
        <f>N96/Sheet1!$B96</f>
        <v>0.4</v>
      </c>
      <c r="N96" s="2">
        <f t="shared" si="0"/>
        <v>38</v>
      </c>
      <c r="O96" s="2">
        <f>IF(Sheet1!$H96="ted",1,0)</f>
        <v>1</v>
      </c>
    </row>
    <row r="97" spans="1:15" ht="15.75" customHeight="1" x14ac:dyDescent="0.2">
      <c r="A97" s="11">
        <v>42991</v>
      </c>
      <c r="B97" s="12">
        <v>96</v>
      </c>
      <c r="C97" s="10" t="s">
        <v>53</v>
      </c>
      <c r="D97" s="10" t="s">
        <v>72</v>
      </c>
      <c r="E97" s="10">
        <v>1</v>
      </c>
      <c r="F97" s="10" t="s">
        <v>3</v>
      </c>
      <c r="G97" s="10">
        <v>0</v>
      </c>
      <c r="H97" s="10" t="s">
        <v>8</v>
      </c>
      <c r="I97" s="10">
        <v>0</v>
      </c>
      <c r="K97" s="2">
        <v>0.5</v>
      </c>
      <c r="L97" s="13">
        <f t="shared" si="1"/>
        <v>0.33333333333333331</v>
      </c>
      <c r="M97" s="13">
        <f>N97/Sheet1!$B97</f>
        <v>0.40625</v>
      </c>
      <c r="N97" s="2">
        <f t="shared" si="0"/>
        <v>39</v>
      </c>
      <c r="O97" s="2">
        <f>IF(Sheet1!$H97="ted",1,0)</f>
        <v>1</v>
      </c>
    </row>
    <row r="98" spans="1:15" ht="15.75" customHeight="1" x14ac:dyDescent="0.2">
      <c r="A98" s="11">
        <v>42991</v>
      </c>
      <c r="B98" s="12">
        <v>97</v>
      </c>
      <c r="C98" s="10" t="s">
        <v>53</v>
      </c>
      <c r="D98" s="10" t="s">
        <v>72</v>
      </c>
      <c r="E98" s="10">
        <v>0</v>
      </c>
      <c r="F98" s="10" t="s">
        <v>3</v>
      </c>
      <c r="G98" s="10">
        <v>0</v>
      </c>
      <c r="H98" s="10" t="s">
        <v>72</v>
      </c>
      <c r="I98" s="10">
        <v>0</v>
      </c>
      <c r="K98" s="2">
        <v>0.5</v>
      </c>
      <c r="L98" s="13">
        <f t="shared" si="1"/>
        <v>0.33333333333333331</v>
      </c>
      <c r="M98" s="13">
        <f>N98/Sheet1!$B98</f>
        <v>0.40206185567010311</v>
      </c>
      <c r="N98" s="2">
        <f t="shared" si="0"/>
        <v>39</v>
      </c>
      <c r="O98" s="2">
        <f>IF(Sheet1!$H98="ted",1,0)</f>
        <v>0</v>
      </c>
    </row>
    <row r="99" spans="1:15" ht="15.75" customHeight="1" x14ac:dyDescent="0.2">
      <c r="A99" s="11">
        <v>42991</v>
      </c>
      <c r="B99" s="12">
        <v>98</v>
      </c>
      <c r="C99" s="10" t="s">
        <v>53</v>
      </c>
      <c r="D99" s="10" t="s">
        <v>72</v>
      </c>
      <c r="E99" s="10">
        <v>0</v>
      </c>
      <c r="F99" s="10" t="s">
        <v>3</v>
      </c>
      <c r="G99" s="10">
        <v>2</v>
      </c>
      <c r="H99" s="10" t="s">
        <v>8</v>
      </c>
      <c r="I99" s="10">
        <v>0</v>
      </c>
      <c r="K99" s="2">
        <v>0.5</v>
      </c>
      <c r="L99" s="13">
        <f t="shared" si="1"/>
        <v>0.33333333333333331</v>
      </c>
      <c r="M99" s="13">
        <f>N99/Sheet1!$B99</f>
        <v>0.39795918367346939</v>
      </c>
      <c r="N99" s="2">
        <f t="shared" si="0"/>
        <v>39</v>
      </c>
      <c r="O99" s="2">
        <f>IF(Sheet1!$H99="ted",1,0)</f>
        <v>1</v>
      </c>
    </row>
    <row r="100" spans="1:15" ht="15.75" customHeight="1" x14ac:dyDescent="0.2">
      <c r="A100" s="11">
        <v>42991</v>
      </c>
      <c r="B100" s="12">
        <v>99</v>
      </c>
      <c r="C100" s="10" t="s">
        <v>53</v>
      </c>
      <c r="D100" s="10" t="s">
        <v>72</v>
      </c>
      <c r="E100" s="10">
        <v>1</v>
      </c>
      <c r="F100" s="10" t="s">
        <v>3</v>
      </c>
      <c r="G100" s="10">
        <v>3</v>
      </c>
      <c r="H100" s="10" t="s">
        <v>72</v>
      </c>
      <c r="I100" s="10">
        <v>0</v>
      </c>
      <c r="K100" s="2">
        <v>0.5</v>
      </c>
      <c r="L100" s="13">
        <f t="shared" si="1"/>
        <v>0.33333333333333331</v>
      </c>
      <c r="M100" s="13">
        <f>N100/Sheet1!$B100</f>
        <v>0.40404040404040403</v>
      </c>
      <c r="N100" s="2">
        <f t="shared" si="0"/>
        <v>40</v>
      </c>
      <c r="O100" s="2">
        <f>IF(Sheet1!$H100="ted",1,0)</f>
        <v>0</v>
      </c>
    </row>
    <row r="101" spans="1:15" ht="15.75" customHeight="1" x14ac:dyDescent="0.2">
      <c r="A101" s="11">
        <v>42991</v>
      </c>
      <c r="B101" s="12">
        <v>100</v>
      </c>
      <c r="C101" s="10" t="s">
        <v>53</v>
      </c>
      <c r="D101" s="10" t="s">
        <v>72</v>
      </c>
      <c r="E101" s="10">
        <v>0</v>
      </c>
      <c r="F101" s="10" t="s">
        <v>3</v>
      </c>
      <c r="G101" s="10">
        <v>1</v>
      </c>
      <c r="H101" s="10" t="s">
        <v>8</v>
      </c>
      <c r="I101" s="10">
        <v>0</v>
      </c>
      <c r="K101" s="2">
        <v>0.5</v>
      </c>
      <c r="L101" s="13">
        <f t="shared" si="1"/>
        <v>0.22222222222222221</v>
      </c>
      <c r="M101" s="13">
        <f>N101/Sheet1!$B101</f>
        <v>0.4</v>
      </c>
      <c r="N101" s="2">
        <f t="shared" si="0"/>
        <v>40</v>
      </c>
      <c r="O101" s="2">
        <f>IF(Sheet1!$H101="ted",1,0)</f>
        <v>1</v>
      </c>
    </row>
    <row r="102" spans="1:15" ht="15.75" customHeight="1" x14ac:dyDescent="0.2">
      <c r="A102" s="11">
        <v>42991</v>
      </c>
      <c r="B102" s="12">
        <v>101</v>
      </c>
      <c r="C102" s="10" t="s">
        <v>53</v>
      </c>
      <c r="D102" s="10" t="s">
        <v>72</v>
      </c>
      <c r="E102" s="10">
        <v>0</v>
      </c>
      <c r="F102" s="10" t="s">
        <v>3</v>
      </c>
      <c r="G102" s="10">
        <v>3</v>
      </c>
      <c r="H102" s="10" t="s">
        <v>72</v>
      </c>
      <c r="I102" s="10">
        <v>0</v>
      </c>
      <c r="K102" s="2">
        <v>0.5</v>
      </c>
      <c r="L102" s="13">
        <f t="shared" si="1"/>
        <v>0.22222222222222221</v>
      </c>
      <c r="M102" s="13">
        <f>N102/Sheet1!$B102</f>
        <v>0.39603960396039606</v>
      </c>
      <c r="N102" s="2">
        <f t="shared" si="0"/>
        <v>40</v>
      </c>
      <c r="O102" s="2">
        <f>IF(Sheet1!$H102="ted",1,0)</f>
        <v>0</v>
      </c>
    </row>
    <row r="103" spans="1:15" ht="15.75" customHeight="1" x14ac:dyDescent="0.2">
      <c r="A103" s="11">
        <v>42995</v>
      </c>
      <c r="B103" s="12">
        <v>102</v>
      </c>
      <c r="C103" s="10" t="s">
        <v>53</v>
      </c>
      <c r="D103" s="10" t="s">
        <v>7</v>
      </c>
      <c r="E103" s="10">
        <v>0</v>
      </c>
      <c r="F103" s="10" t="s">
        <v>3</v>
      </c>
      <c r="G103" s="10">
        <v>1</v>
      </c>
      <c r="H103" s="10" t="s">
        <v>8</v>
      </c>
      <c r="I103" s="10">
        <v>0</v>
      </c>
      <c r="K103" s="2">
        <v>0.5</v>
      </c>
      <c r="L103" s="13">
        <f t="shared" si="1"/>
        <v>0.22222222222222221</v>
      </c>
      <c r="M103" s="13">
        <f>N103/Sheet1!$B103</f>
        <v>0.39215686274509803</v>
      </c>
      <c r="N103" s="2">
        <f t="shared" si="0"/>
        <v>40</v>
      </c>
      <c r="O103" s="2">
        <f>IF(Sheet1!$H103="ted",1,0)</f>
        <v>1</v>
      </c>
    </row>
    <row r="104" spans="1:15" ht="15.75" customHeight="1" x14ac:dyDescent="0.2">
      <c r="A104" s="11">
        <v>42995</v>
      </c>
      <c r="B104" s="12">
        <v>103</v>
      </c>
      <c r="C104" s="10" t="s">
        <v>53</v>
      </c>
      <c r="D104" s="10" t="s">
        <v>7</v>
      </c>
      <c r="E104" s="10">
        <v>1</v>
      </c>
      <c r="F104" s="10" t="s">
        <v>3</v>
      </c>
      <c r="G104" s="10">
        <v>1</v>
      </c>
      <c r="H104" s="10" t="s">
        <v>7</v>
      </c>
      <c r="I104" s="10">
        <v>0</v>
      </c>
      <c r="K104" s="2">
        <v>0.5</v>
      </c>
      <c r="L104" s="13">
        <f t="shared" si="1"/>
        <v>0.33333333333333331</v>
      </c>
      <c r="M104" s="13">
        <f>N104/Sheet1!$B104</f>
        <v>0.39805825242718446</v>
      </c>
      <c r="N104" s="2">
        <f t="shared" si="0"/>
        <v>41</v>
      </c>
      <c r="O104" s="2">
        <f>IF(Sheet1!$H104="ted",1,0)</f>
        <v>0</v>
      </c>
    </row>
    <row r="105" spans="1:15" ht="15.75" customHeight="1" x14ac:dyDescent="0.2">
      <c r="A105" s="11">
        <v>42999</v>
      </c>
      <c r="B105" s="12">
        <v>104</v>
      </c>
      <c r="C105" s="10" t="s">
        <v>53</v>
      </c>
      <c r="D105" s="10" t="s">
        <v>73</v>
      </c>
      <c r="E105" s="10">
        <v>0</v>
      </c>
      <c r="F105" s="10" t="s">
        <v>4</v>
      </c>
      <c r="G105" s="10">
        <v>0</v>
      </c>
      <c r="H105" s="10" t="s">
        <v>8</v>
      </c>
      <c r="I105" s="10">
        <v>0</v>
      </c>
      <c r="K105" s="2">
        <v>0.5</v>
      </c>
      <c r="L105" s="13">
        <f t="shared" si="1"/>
        <v>0.33333333333333331</v>
      </c>
      <c r="M105" s="13">
        <f>N105/Sheet1!$B105</f>
        <v>0.39423076923076922</v>
      </c>
      <c r="N105" s="2">
        <f t="shared" si="0"/>
        <v>41</v>
      </c>
      <c r="O105" s="2">
        <f>IF(Sheet1!$H105="ted",1,0)</f>
        <v>1</v>
      </c>
    </row>
    <row r="106" spans="1:15" ht="15.75" customHeight="1" x14ac:dyDescent="0.2">
      <c r="A106" s="11">
        <v>42999</v>
      </c>
      <c r="B106" s="12">
        <v>105</v>
      </c>
      <c r="C106" s="10" t="s">
        <v>53</v>
      </c>
      <c r="D106" s="10" t="s">
        <v>72</v>
      </c>
      <c r="E106" s="10">
        <v>1</v>
      </c>
      <c r="F106" s="10" t="s">
        <v>3</v>
      </c>
      <c r="G106" s="10">
        <v>1</v>
      </c>
      <c r="H106" s="10" t="s">
        <v>72</v>
      </c>
      <c r="I106" s="10">
        <v>0</v>
      </c>
      <c r="K106" s="2">
        <v>0.5</v>
      </c>
      <c r="L106" s="13">
        <f t="shared" si="1"/>
        <v>0.33333333333333331</v>
      </c>
      <c r="M106" s="13">
        <f>N106/Sheet1!$B106</f>
        <v>0.4</v>
      </c>
      <c r="N106" s="2">
        <f t="shared" si="0"/>
        <v>42</v>
      </c>
      <c r="O106" s="2">
        <f>IF(Sheet1!$H106="ted",1,0)</f>
        <v>0</v>
      </c>
    </row>
    <row r="107" spans="1:15" ht="15.75" customHeight="1" x14ac:dyDescent="0.2">
      <c r="A107" s="11">
        <v>42999</v>
      </c>
      <c r="B107" s="12">
        <v>106</v>
      </c>
      <c r="C107" s="10" t="s">
        <v>53</v>
      </c>
      <c r="D107" s="10" t="s">
        <v>73</v>
      </c>
      <c r="E107" s="10">
        <v>1</v>
      </c>
      <c r="F107" s="10" t="s">
        <v>3</v>
      </c>
      <c r="G107" s="10">
        <v>2</v>
      </c>
      <c r="H107" s="10" t="s">
        <v>8</v>
      </c>
      <c r="I107" s="10">
        <v>0</v>
      </c>
      <c r="K107" s="2">
        <v>0.5</v>
      </c>
      <c r="L107" s="13">
        <f t="shared" si="1"/>
        <v>0.44444444444444442</v>
      </c>
      <c r="M107" s="13">
        <f>N107/Sheet1!$B107</f>
        <v>0.40566037735849059</v>
      </c>
      <c r="N107" s="2">
        <f t="shared" si="0"/>
        <v>43</v>
      </c>
      <c r="O107" s="2">
        <f>IF(Sheet1!$H107="ted",1,0)</f>
        <v>1</v>
      </c>
    </row>
    <row r="108" spans="1:15" ht="15.75" customHeight="1" x14ac:dyDescent="0.2">
      <c r="A108" s="11">
        <v>42999</v>
      </c>
      <c r="B108" s="12">
        <v>107</v>
      </c>
      <c r="C108" s="10" t="s">
        <v>53</v>
      </c>
      <c r="D108" s="10" t="s">
        <v>72</v>
      </c>
      <c r="E108" s="10">
        <v>0</v>
      </c>
      <c r="F108" s="10" t="s">
        <v>3</v>
      </c>
      <c r="G108" s="10">
        <v>4</v>
      </c>
      <c r="H108" s="10" t="s">
        <v>8</v>
      </c>
      <c r="I108" s="10">
        <v>0</v>
      </c>
      <c r="K108" s="2">
        <v>0.5</v>
      </c>
      <c r="L108" s="13">
        <f t="shared" si="1"/>
        <v>0.44444444444444442</v>
      </c>
      <c r="M108" s="13">
        <f>N108/Sheet1!$B108</f>
        <v>0.40186915887850466</v>
      </c>
      <c r="N108" s="2">
        <f t="shared" si="0"/>
        <v>43</v>
      </c>
      <c r="O108" s="2">
        <f>IF(Sheet1!$H108="ted",1,0)</f>
        <v>1</v>
      </c>
    </row>
    <row r="109" spans="1:15" ht="15.75" customHeight="1" x14ac:dyDescent="0.2">
      <c r="A109" s="11">
        <v>42999</v>
      </c>
      <c r="B109" s="12">
        <v>108</v>
      </c>
      <c r="C109" s="10" t="s">
        <v>53</v>
      </c>
      <c r="D109" s="10" t="s">
        <v>72</v>
      </c>
      <c r="E109" s="10">
        <v>0</v>
      </c>
      <c r="F109" s="10" t="s">
        <v>3</v>
      </c>
      <c r="G109" s="10">
        <v>1</v>
      </c>
      <c r="H109" s="10" t="s">
        <v>72</v>
      </c>
      <c r="I109" s="10">
        <v>0</v>
      </c>
      <c r="K109" s="2">
        <v>0.5</v>
      </c>
      <c r="L109" s="13">
        <f t="shared" si="1"/>
        <v>0.33333333333333331</v>
      </c>
      <c r="M109" s="13">
        <f>N109/Sheet1!$B109</f>
        <v>0.39814814814814814</v>
      </c>
      <c r="N109" s="2">
        <f t="shared" si="0"/>
        <v>43</v>
      </c>
      <c r="O109" s="2">
        <f>IF(Sheet1!$H109="ted",1,0)</f>
        <v>0</v>
      </c>
    </row>
    <row r="110" spans="1:15" ht="15.75" customHeight="1" x14ac:dyDescent="0.2">
      <c r="A110" s="11">
        <v>42999</v>
      </c>
      <c r="B110" s="12">
        <v>109</v>
      </c>
      <c r="C110" s="10" t="s">
        <v>53</v>
      </c>
      <c r="D110" s="10" t="s">
        <v>72</v>
      </c>
      <c r="E110" s="10">
        <v>1</v>
      </c>
      <c r="F110" s="10" t="s">
        <v>3</v>
      </c>
      <c r="G110" s="10">
        <v>0</v>
      </c>
      <c r="H110" s="10" t="s">
        <v>8</v>
      </c>
      <c r="I110" s="10">
        <v>0</v>
      </c>
      <c r="K110" s="2">
        <v>0.5</v>
      </c>
      <c r="L110" s="13">
        <f t="shared" si="1"/>
        <v>0.44444444444444442</v>
      </c>
      <c r="M110" s="13">
        <f>N110/Sheet1!$B110</f>
        <v>0.40366972477064222</v>
      </c>
      <c r="N110" s="2">
        <f t="shared" si="0"/>
        <v>44</v>
      </c>
      <c r="O110" s="2">
        <f>IF(Sheet1!$H110="ted",1,0)</f>
        <v>1</v>
      </c>
    </row>
    <row r="111" spans="1:15" ht="15.75" customHeight="1" x14ac:dyDescent="0.2">
      <c r="A111" s="11">
        <v>43000</v>
      </c>
      <c r="B111" s="12">
        <v>110</v>
      </c>
      <c r="C111" s="10" t="s">
        <v>53</v>
      </c>
      <c r="D111" s="10" t="s">
        <v>74</v>
      </c>
      <c r="E111" s="10">
        <v>1</v>
      </c>
      <c r="F111" s="10" t="s">
        <v>5</v>
      </c>
      <c r="G111" s="10">
        <v>0</v>
      </c>
      <c r="H111" s="10" t="s">
        <v>8</v>
      </c>
      <c r="I111" s="10">
        <v>0</v>
      </c>
      <c r="K111" s="2">
        <v>0.5</v>
      </c>
      <c r="L111" s="13">
        <f t="shared" si="1"/>
        <v>0.55555555555555558</v>
      </c>
      <c r="M111" s="13">
        <f>N111/Sheet1!$B111</f>
        <v>0.40909090909090912</v>
      </c>
      <c r="N111" s="2">
        <f t="shared" si="0"/>
        <v>45</v>
      </c>
      <c r="O111" s="2">
        <f>IF(Sheet1!$H111="ted",1,0)</f>
        <v>1</v>
      </c>
    </row>
    <row r="112" spans="1:15" ht="15.75" customHeight="1" x14ac:dyDescent="0.2">
      <c r="A112" s="11">
        <v>43000</v>
      </c>
      <c r="B112" s="12">
        <v>111</v>
      </c>
      <c r="C112" s="10" t="s">
        <v>53</v>
      </c>
      <c r="D112" s="10" t="s">
        <v>72</v>
      </c>
      <c r="E112" s="10">
        <v>0</v>
      </c>
      <c r="F112" s="10" t="s">
        <v>3</v>
      </c>
      <c r="G112" s="10">
        <v>0</v>
      </c>
      <c r="H112" s="10" t="s">
        <v>8</v>
      </c>
      <c r="I112" s="10">
        <v>0</v>
      </c>
      <c r="K112" s="2">
        <v>0.5</v>
      </c>
      <c r="L112" s="13">
        <f t="shared" si="1"/>
        <v>0.55555555555555558</v>
      </c>
      <c r="M112" s="13">
        <f>N112/Sheet1!$B112</f>
        <v>0.40540540540540543</v>
      </c>
      <c r="N112" s="2">
        <f t="shared" si="0"/>
        <v>45</v>
      </c>
      <c r="O112" s="2">
        <f>IF(Sheet1!$H112="ted",1,0)</f>
        <v>1</v>
      </c>
    </row>
    <row r="113" spans="1:15" ht="15.75" customHeight="1" x14ac:dyDescent="0.2">
      <c r="A113" s="11">
        <v>43000</v>
      </c>
      <c r="B113" s="12">
        <v>112</v>
      </c>
      <c r="C113" s="10" t="s">
        <v>53</v>
      </c>
      <c r="D113" s="10" t="s">
        <v>75</v>
      </c>
      <c r="E113" s="10">
        <v>1</v>
      </c>
      <c r="F113" s="10" t="s">
        <v>3</v>
      </c>
      <c r="G113" s="10">
        <v>2</v>
      </c>
      <c r="H113" s="10" t="s">
        <v>8</v>
      </c>
      <c r="I113" s="10">
        <v>0</v>
      </c>
      <c r="K113" s="2">
        <v>0.5</v>
      </c>
      <c r="L113" s="13">
        <f t="shared" si="1"/>
        <v>0.55555555555555558</v>
      </c>
      <c r="M113" s="13">
        <f>N113/Sheet1!$B113</f>
        <v>0.4107142857142857</v>
      </c>
      <c r="N113" s="2">
        <f t="shared" si="0"/>
        <v>46</v>
      </c>
      <c r="O113" s="2">
        <f>IF(Sheet1!$H113="ted",1,0)</f>
        <v>1</v>
      </c>
    </row>
    <row r="114" spans="1:15" ht="15.75" customHeight="1" x14ac:dyDescent="0.2">
      <c r="A114" s="11">
        <v>43000</v>
      </c>
      <c r="B114" s="12">
        <v>113</v>
      </c>
      <c r="C114" s="10" t="s">
        <v>53</v>
      </c>
      <c r="D114" s="10" t="s">
        <v>74</v>
      </c>
      <c r="E114" s="10">
        <v>0</v>
      </c>
      <c r="F114" s="10" t="s">
        <v>3</v>
      </c>
      <c r="G114" s="10">
        <v>0</v>
      </c>
      <c r="H114" s="10" t="s">
        <v>74</v>
      </c>
      <c r="I114" s="10">
        <v>0</v>
      </c>
      <c r="K114" s="2">
        <v>0.5</v>
      </c>
      <c r="L114" s="13">
        <f t="shared" si="1"/>
        <v>0.55555555555555558</v>
      </c>
      <c r="M114" s="13">
        <f>N114/Sheet1!$B114</f>
        <v>0.40707964601769914</v>
      </c>
      <c r="N114" s="2">
        <f t="shared" si="0"/>
        <v>46</v>
      </c>
      <c r="O114" s="2">
        <f>IF(Sheet1!$H114="ted",1,0)</f>
        <v>0</v>
      </c>
    </row>
    <row r="115" spans="1:15" ht="15.75" customHeight="1" x14ac:dyDescent="0.2">
      <c r="A115" s="11">
        <v>43000</v>
      </c>
      <c r="B115" s="12">
        <v>114</v>
      </c>
      <c r="C115" s="10" t="s">
        <v>53</v>
      </c>
      <c r="D115" s="10" t="s">
        <v>72</v>
      </c>
      <c r="E115" s="10">
        <v>1</v>
      </c>
      <c r="F115" s="10" t="s">
        <v>4</v>
      </c>
      <c r="G115" s="10">
        <v>0</v>
      </c>
      <c r="H115" s="10" t="s">
        <v>72</v>
      </c>
      <c r="I115" s="10">
        <v>2</v>
      </c>
      <c r="K115" s="2">
        <v>0.5</v>
      </c>
      <c r="L115" s="13">
        <f t="shared" si="1"/>
        <v>0.55555555555555558</v>
      </c>
      <c r="M115" s="13">
        <f>N115/Sheet1!$B115</f>
        <v>0.41228070175438597</v>
      </c>
      <c r="N115" s="2">
        <f t="shared" si="0"/>
        <v>47</v>
      </c>
      <c r="O115" s="2">
        <f>IF(Sheet1!$H115="ted",1,0)</f>
        <v>0</v>
      </c>
    </row>
    <row r="116" spans="1:15" ht="15.75" customHeight="1" x14ac:dyDescent="0.2">
      <c r="A116" s="11">
        <v>43000</v>
      </c>
      <c r="B116" s="12">
        <v>115</v>
      </c>
      <c r="C116" s="10" t="s">
        <v>53</v>
      </c>
      <c r="D116" s="10" t="s">
        <v>72</v>
      </c>
      <c r="E116" s="10">
        <v>0</v>
      </c>
      <c r="F116" s="10" t="s">
        <v>3</v>
      </c>
      <c r="G116" s="10">
        <v>0</v>
      </c>
      <c r="H116" s="10" t="s">
        <v>8</v>
      </c>
      <c r="I116" s="10">
        <v>0</v>
      </c>
      <c r="K116" s="2">
        <v>0.5</v>
      </c>
      <c r="L116" s="13">
        <f t="shared" si="1"/>
        <v>0.44444444444444442</v>
      </c>
      <c r="M116" s="13">
        <f>N116/Sheet1!$B116</f>
        <v>0.40869565217391307</v>
      </c>
      <c r="N116" s="2">
        <f t="shared" si="0"/>
        <v>47</v>
      </c>
      <c r="O116" s="2">
        <f>IF(Sheet1!$H116="ted",1,0)</f>
        <v>1</v>
      </c>
    </row>
    <row r="117" spans="1:15" ht="15.75" customHeight="1" x14ac:dyDescent="0.2">
      <c r="A117" s="11">
        <v>43010</v>
      </c>
      <c r="B117" s="12">
        <v>116</v>
      </c>
      <c r="C117" s="10" t="s">
        <v>53</v>
      </c>
      <c r="D117" s="10" t="s">
        <v>7</v>
      </c>
      <c r="E117" s="10">
        <v>0</v>
      </c>
      <c r="F117" s="10" t="s">
        <v>3</v>
      </c>
      <c r="G117" s="10">
        <v>0</v>
      </c>
      <c r="H117" s="10" t="s">
        <v>8</v>
      </c>
      <c r="I117" s="10">
        <v>0</v>
      </c>
      <c r="K117" s="2">
        <v>0.5</v>
      </c>
      <c r="L117" s="13">
        <f t="shared" si="1"/>
        <v>0.44444444444444442</v>
      </c>
      <c r="M117" s="13">
        <f>N117/Sheet1!$B117</f>
        <v>0.40517241379310343</v>
      </c>
      <c r="N117" s="2">
        <f t="shared" si="0"/>
        <v>47</v>
      </c>
      <c r="O117" s="2">
        <f>IF(Sheet1!$H117="ted",1,0)</f>
        <v>1</v>
      </c>
    </row>
    <row r="118" spans="1:15" ht="15.75" customHeight="1" x14ac:dyDescent="0.2">
      <c r="A118" s="11">
        <v>43010</v>
      </c>
      <c r="B118" s="12">
        <v>117</v>
      </c>
      <c r="C118" s="10" t="s">
        <v>53</v>
      </c>
      <c r="D118" s="10" t="s">
        <v>7</v>
      </c>
      <c r="E118" s="10">
        <v>0</v>
      </c>
      <c r="F118" s="10" t="s">
        <v>3</v>
      </c>
      <c r="G118" s="10">
        <v>0</v>
      </c>
      <c r="H118" s="10" t="s">
        <v>7</v>
      </c>
      <c r="I118" s="10">
        <v>1</v>
      </c>
      <c r="K118" s="2">
        <v>0.5</v>
      </c>
      <c r="L118" s="13">
        <f t="shared" si="1"/>
        <v>0.44444444444444442</v>
      </c>
      <c r="M118" s="13">
        <f>N118/Sheet1!$B118</f>
        <v>0.40170940170940173</v>
      </c>
      <c r="N118" s="2">
        <f t="shared" si="0"/>
        <v>47</v>
      </c>
      <c r="O118" s="2">
        <f>IF(Sheet1!$H118="ted",1,0)</f>
        <v>0</v>
      </c>
    </row>
    <row r="119" spans="1:15" ht="15.75" customHeight="1" x14ac:dyDescent="0.2">
      <c r="A119" s="11">
        <v>43010</v>
      </c>
      <c r="B119" s="12">
        <v>118</v>
      </c>
      <c r="C119" s="10" t="s">
        <v>53</v>
      </c>
      <c r="D119" s="10" t="s">
        <v>7</v>
      </c>
      <c r="E119" s="10">
        <v>1</v>
      </c>
      <c r="F119" s="10" t="s">
        <v>4</v>
      </c>
      <c r="G119" s="10">
        <v>1</v>
      </c>
      <c r="H119" s="10" t="s">
        <v>8</v>
      </c>
      <c r="I119" s="10">
        <v>0</v>
      </c>
      <c r="K119" s="2">
        <v>0.5</v>
      </c>
      <c r="L119" s="13">
        <f t="shared" si="1"/>
        <v>0.44444444444444442</v>
      </c>
      <c r="M119" s="13">
        <f>N119/Sheet1!$B119</f>
        <v>0.40677966101694918</v>
      </c>
      <c r="N119" s="2">
        <f t="shared" si="0"/>
        <v>48</v>
      </c>
      <c r="O119" s="2">
        <f>IF(Sheet1!$H119="ted",1,0)</f>
        <v>1</v>
      </c>
    </row>
    <row r="120" spans="1:15" ht="15.75" customHeight="1" x14ac:dyDescent="0.2">
      <c r="A120" s="11">
        <v>43011</v>
      </c>
      <c r="B120" s="12">
        <v>119</v>
      </c>
      <c r="C120" s="10" t="s">
        <v>53</v>
      </c>
      <c r="D120" s="10" t="s">
        <v>75</v>
      </c>
      <c r="E120" s="10">
        <v>1</v>
      </c>
      <c r="F120" s="10" t="s">
        <v>4</v>
      </c>
      <c r="G120" s="10">
        <v>0</v>
      </c>
      <c r="H120" s="10" t="s">
        <v>75</v>
      </c>
      <c r="I120" s="10">
        <v>0</v>
      </c>
      <c r="K120" s="2">
        <v>0.5</v>
      </c>
      <c r="L120" s="13">
        <f t="shared" si="1"/>
        <v>0.44444444444444442</v>
      </c>
      <c r="M120" s="13">
        <f>N120/Sheet1!$B120</f>
        <v>0.41176470588235292</v>
      </c>
      <c r="N120" s="2">
        <f t="shared" si="0"/>
        <v>49</v>
      </c>
      <c r="O120" s="2">
        <f>IF(Sheet1!$H120="ted",1,0)</f>
        <v>0</v>
      </c>
    </row>
    <row r="121" spans="1:15" ht="15.75" customHeight="1" x14ac:dyDescent="0.2">
      <c r="A121" s="11">
        <v>43011</v>
      </c>
      <c r="B121" s="12">
        <v>120</v>
      </c>
      <c r="C121" s="10" t="s">
        <v>53</v>
      </c>
      <c r="D121" s="10" t="s">
        <v>75</v>
      </c>
      <c r="E121" s="10">
        <v>0</v>
      </c>
      <c r="F121" s="10" t="s">
        <v>5</v>
      </c>
      <c r="G121" s="10">
        <v>1</v>
      </c>
      <c r="H121" s="10" t="s">
        <v>8</v>
      </c>
      <c r="I121" s="10">
        <v>0</v>
      </c>
      <c r="K121" s="2">
        <v>0.5</v>
      </c>
      <c r="L121" s="13">
        <f t="shared" si="1"/>
        <v>0.44444444444444442</v>
      </c>
      <c r="M121" s="13">
        <f>N121/Sheet1!$B121</f>
        <v>0.40833333333333333</v>
      </c>
      <c r="N121" s="2">
        <f t="shared" si="0"/>
        <v>49</v>
      </c>
      <c r="O121" s="2">
        <f>IF(Sheet1!$H121="ted",1,0)</f>
        <v>1</v>
      </c>
    </row>
    <row r="122" spans="1:15" ht="15.75" customHeight="1" x14ac:dyDescent="0.2">
      <c r="A122" s="11">
        <v>43011</v>
      </c>
      <c r="B122" s="12">
        <v>121</v>
      </c>
      <c r="C122" s="10" t="s">
        <v>53</v>
      </c>
      <c r="D122" s="10" t="s">
        <v>75</v>
      </c>
      <c r="E122" s="10">
        <v>0</v>
      </c>
      <c r="F122" s="10" t="s">
        <v>3</v>
      </c>
      <c r="G122" s="10">
        <v>0</v>
      </c>
      <c r="H122" s="10" t="s">
        <v>75</v>
      </c>
      <c r="I122" s="10">
        <v>2</v>
      </c>
      <c r="K122" s="2">
        <v>0.5</v>
      </c>
      <c r="L122" s="13">
        <f t="shared" si="1"/>
        <v>0.33333333333333331</v>
      </c>
      <c r="M122" s="13">
        <f>N122/Sheet1!$B122</f>
        <v>0.4049586776859504</v>
      </c>
      <c r="N122" s="2">
        <f t="shared" si="0"/>
        <v>49</v>
      </c>
      <c r="O122" s="2">
        <f>IF(Sheet1!$H122="ted",1,0)</f>
        <v>0</v>
      </c>
    </row>
    <row r="123" spans="1:15" ht="15.75" customHeight="1" x14ac:dyDescent="0.2">
      <c r="A123" s="11">
        <v>43011</v>
      </c>
      <c r="B123" s="12">
        <v>122</v>
      </c>
      <c r="C123" s="10" t="s">
        <v>53</v>
      </c>
      <c r="D123" s="10" t="s">
        <v>75</v>
      </c>
      <c r="E123" s="10">
        <v>1</v>
      </c>
      <c r="F123" s="10" t="s">
        <v>3</v>
      </c>
      <c r="G123" s="10">
        <v>0</v>
      </c>
      <c r="H123" s="10" t="s">
        <v>8</v>
      </c>
      <c r="I123" s="10">
        <v>0</v>
      </c>
      <c r="K123" s="2">
        <v>0.5</v>
      </c>
      <c r="L123" s="13">
        <f t="shared" si="1"/>
        <v>0.44444444444444442</v>
      </c>
      <c r="M123" s="13">
        <f>N123/Sheet1!$B123</f>
        <v>0.4098360655737705</v>
      </c>
      <c r="N123" s="2">
        <f t="shared" si="0"/>
        <v>50</v>
      </c>
      <c r="O123" s="2">
        <f>IF(Sheet1!$H123="ted",1,0)</f>
        <v>1</v>
      </c>
    </row>
    <row r="124" spans="1:15" ht="15.75" customHeight="1" x14ac:dyDescent="0.2">
      <c r="A124" s="11">
        <v>43011</v>
      </c>
      <c r="B124" s="12">
        <v>123</v>
      </c>
      <c r="C124" s="10" t="s">
        <v>53</v>
      </c>
      <c r="D124" s="10" t="s">
        <v>75</v>
      </c>
      <c r="E124" s="10">
        <v>0</v>
      </c>
      <c r="F124" s="10" t="s">
        <v>2</v>
      </c>
      <c r="G124" s="10">
        <v>3</v>
      </c>
      <c r="H124" s="10" t="s">
        <v>75</v>
      </c>
      <c r="I124" s="10">
        <v>7</v>
      </c>
      <c r="K124" s="2">
        <v>0.5</v>
      </c>
      <c r="L124" s="13">
        <f t="shared" si="1"/>
        <v>0.33333333333333331</v>
      </c>
      <c r="M124" s="13">
        <f>N124/Sheet1!$B124</f>
        <v>0.4065040650406504</v>
      </c>
      <c r="N124" s="2">
        <f t="shared" si="0"/>
        <v>50</v>
      </c>
      <c r="O124" s="2">
        <f>IF(Sheet1!$H124="ted",1,0)</f>
        <v>0</v>
      </c>
    </row>
    <row r="125" spans="1:15" ht="15.75" customHeight="1" x14ac:dyDescent="0.2">
      <c r="A125" s="11">
        <v>43015</v>
      </c>
      <c r="B125" s="12">
        <v>124</v>
      </c>
      <c r="C125" s="10" t="s">
        <v>65</v>
      </c>
      <c r="D125" s="10" t="s">
        <v>7</v>
      </c>
      <c r="E125" s="10">
        <v>1</v>
      </c>
      <c r="F125" s="10" t="s">
        <v>3</v>
      </c>
      <c r="G125" s="10">
        <v>0</v>
      </c>
      <c r="H125" s="10" t="s">
        <v>8</v>
      </c>
      <c r="I125" s="10">
        <v>2</v>
      </c>
      <c r="K125" s="2">
        <v>0.5</v>
      </c>
      <c r="L125" s="13">
        <f t="shared" si="1"/>
        <v>0.44444444444444442</v>
      </c>
      <c r="M125" s="13">
        <f>N125/Sheet1!$B125</f>
        <v>0.41129032258064518</v>
      </c>
      <c r="N125" s="2">
        <f t="shared" si="0"/>
        <v>51</v>
      </c>
      <c r="O125" s="2">
        <f>IF(Sheet1!$H125="ted",1,0)</f>
        <v>1</v>
      </c>
    </row>
    <row r="126" spans="1:15" ht="15.75" customHeight="1" x14ac:dyDescent="0.2">
      <c r="A126" s="11">
        <v>43015</v>
      </c>
      <c r="B126" s="12">
        <v>125</v>
      </c>
      <c r="C126" s="10" t="s">
        <v>65</v>
      </c>
      <c r="D126" s="10" t="s">
        <v>7</v>
      </c>
      <c r="E126" s="10">
        <v>0</v>
      </c>
      <c r="F126" s="10" t="s">
        <v>4</v>
      </c>
      <c r="G126" s="10">
        <v>0</v>
      </c>
      <c r="H126" s="10" t="s">
        <v>7</v>
      </c>
      <c r="I126" s="10">
        <v>0</v>
      </c>
      <c r="K126" s="2">
        <v>0.5</v>
      </c>
      <c r="L126" s="13">
        <f t="shared" si="1"/>
        <v>0.44444444444444442</v>
      </c>
      <c r="M126" s="13">
        <f>N126/Sheet1!$B126</f>
        <v>0.40799999999999997</v>
      </c>
      <c r="N126" s="2">
        <f t="shared" si="0"/>
        <v>51</v>
      </c>
      <c r="O126" s="2">
        <f>IF(Sheet1!$H126="ted",1,0)</f>
        <v>0</v>
      </c>
    </row>
    <row r="127" spans="1:15" ht="15.75" customHeight="1" x14ac:dyDescent="0.2">
      <c r="A127" s="11">
        <v>43015</v>
      </c>
      <c r="B127" s="12">
        <v>126</v>
      </c>
      <c r="C127" s="10" t="s">
        <v>65</v>
      </c>
      <c r="D127" s="10" t="s">
        <v>7</v>
      </c>
      <c r="E127" s="10">
        <v>1</v>
      </c>
      <c r="F127" s="10" t="s">
        <v>3</v>
      </c>
      <c r="G127" s="10">
        <v>0</v>
      </c>
      <c r="H127" s="10" t="s">
        <v>8</v>
      </c>
      <c r="I127" s="10">
        <v>2</v>
      </c>
      <c r="K127" s="2">
        <v>0.5</v>
      </c>
      <c r="L127" s="13">
        <f t="shared" si="1"/>
        <v>0.55555555555555558</v>
      </c>
      <c r="M127" s="13">
        <f>N127/Sheet1!$B127</f>
        <v>0.41269841269841268</v>
      </c>
      <c r="N127" s="2">
        <f t="shared" si="0"/>
        <v>52</v>
      </c>
      <c r="O127" s="2">
        <f>IF(Sheet1!$H127="ted",1,0)</f>
        <v>1</v>
      </c>
    </row>
    <row r="128" spans="1:15" ht="15.75" customHeight="1" x14ac:dyDescent="0.2">
      <c r="A128" s="11">
        <v>43015</v>
      </c>
      <c r="B128" s="12">
        <v>127</v>
      </c>
      <c r="C128" s="10" t="s">
        <v>65</v>
      </c>
      <c r="D128" s="10" t="s">
        <v>7</v>
      </c>
      <c r="E128" s="10">
        <v>0</v>
      </c>
      <c r="F128" s="10" t="s">
        <v>3</v>
      </c>
      <c r="G128" s="10">
        <v>0</v>
      </c>
      <c r="H128" s="10" t="s">
        <v>7</v>
      </c>
      <c r="I128" s="10">
        <v>0</v>
      </c>
      <c r="K128" s="2">
        <v>0.5</v>
      </c>
      <c r="L128" s="13">
        <f t="shared" si="1"/>
        <v>0.44444444444444442</v>
      </c>
      <c r="M128" s="13">
        <f>N128/Sheet1!$B128</f>
        <v>0.40944881889763779</v>
      </c>
      <c r="N128" s="2">
        <f t="shared" si="0"/>
        <v>52</v>
      </c>
      <c r="O128" s="2">
        <f>IF(Sheet1!$H128="ted",1,0)</f>
        <v>0</v>
      </c>
    </row>
    <row r="129" spans="1:15" ht="15.75" customHeight="1" x14ac:dyDescent="0.2">
      <c r="A129" s="11">
        <v>43015</v>
      </c>
      <c r="B129" s="12">
        <v>128</v>
      </c>
      <c r="C129" s="10" t="s">
        <v>65</v>
      </c>
      <c r="D129" s="10" t="s">
        <v>7</v>
      </c>
      <c r="E129" s="10">
        <v>0</v>
      </c>
      <c r="F129" s="10" t="s">
        <v>3</v>
      </c>
      <c r="G129" s="10">
        <v>0</v>
      </c>
      <c r="H129" s="10" t="s">
        <v>8</v>
      </c>
      <c r="I129" s="10">
        <v>2</v>
      </c>
      <c r="K129" s="2">
        <v>0.5</v>
      </c>
      <c r="L129" s="13">
        <f t="shared" si="1"/>
        <v>0.33333333333333331</v>
      </c>
      <c r="M129" s="13">
        <f>N129/Sheet1!$B129</f>
        <v>0.40625</v>
      </c>
      <c r="N129" s="2">
        <f t="shared" si="0"/>
        <v>52</v>
      </c>
      <c r="O129" s="2">
        <f>IF(Sheet1!$H129="ted",1,0)</f>
        <v>1</v>
      </c>
    </row>
    <row r="130" spans="1:15" ht="15.75" customHeight="1" x14ac:dyDescent="0.2">
      <c r="A130" s="11">
        <v>43022</v>
      </c>
      <c r="B130" s="12">
        <v>129</v>
      </c>
      <c r="C130" s="10" t="s">
        <v>53</v>
      </c>
      <c r="D130" s="10" t="s">
        <v>7</v>
      </c>
      <c r="E130" s="10">
        <v>1</v>
      </c>
      <c r="F130" s="10" t="s">
        <v>3</v>
      </c>
      <c r="G130" s="10">
        <v>0</v>
      </c>
      <c r="H130" s="10" t="s">
        <v>7</v>
      </c>
      <c r="I130" s="10">
        <v>0</v>
      </c>
      <c r="K130" s="2">
        <v>0.5</v>
      </c>
      <c r="L130" s="13">
        <f t="shared" si="1"/>
        <v>0.44444444444444442</v>
      </c>
      <c r="M130" s="13">
        <f>N130/Sheet1!$B130</f>
        <v>0.41085271317829458</v>
      </c>
      <c r="N130" s="2">
        <f t="shared" si="0"/>
        <v>53</v>
      </c>
      <c r="O130" s="2">
        <f>IF(Sheet1!$H130="ted",1,0)</f>
        <v>0</v>
      </c>
    </row>
    <row r="131" spans="1:15" ht="15.75" customHeight="1" x14ac:dyDescent="0.2">
      <c r="A131" s="11">
        <v>43024</v>
      </c>
      <c r="B131" s="12">
        <v>130</v>
      </c>
      <c r="C131" s="10" t="s">
        <v>53</v>
      </c>
      <c r="D131" s="10" t="s">
        <v>7</v>
      </c>
      <c r="E131" s="10">
        <v>1</v>
      </c>
      <c r="F131" s="10" t="s">
        <v>5</v>
      </c>
      <c r="G131" s="10">
        <v>0</v>
      </c>
      <c r="H131" s="10" t="s">
        <v>7</v>
      </c>
      <c r="I131" s="10">
        <v>0</v>
      </c>
      <c r="K131" s="2">
        <v>0.5</v>
      </c>
      <c r="L131" s="13">
        <f t="shared" si="1"/>
        <v>0.55555555555555558</v>
      </c>
      <c r="M131" s="13">
        <f>N131/Sheet1!$B131</f>
        <v>0.41538461538461541</v>
      </c>
      <c r="N131" s="2">
        <f t="shared" si="0"/>
        <v>54</v>
      </c>
      <c r="O131" s="2">
        <f>IF(Sheet1!$H131="ted",1,0)</f>
        <v>0</v>
      </c>
    </row>
    <row r="132" spans="1:15" ht="15.75" customHeight="1" x14ac:dyDescent="0.2">
      <c r="A132" s="11">
        <v>43024</v>
      </c>
      <c r="B132" s="12">
        <v>131</v>
      </c>
      <c r="C132" s="10" t="s">
        <v>53</v>
      </c>
      <c r="D132" s="10" t="s">
        <v>7</v>
      </c>
      <c r="E132" s="10">
        <v>0</v>
      </c>
      <c r="F132" s="10" t="s">
        <v>3</v>
      </c>
      <c r="G132" s="10">
        <v>0</v>
      </c>
      <c r="H132" s="10" t="s">
        <v>8</v>
      </c>
      <c r="I132" s="10">
        <v>0</v>
      </c>
      <c r="K132" s="2">
        <v>0.5</v>
      </c>
      <c r="L132" s="13">
        <f t="shared" si="1"/>
        <v>0.44444444444444442</v>
      </c>
      <c r="M132" s="13">
        <f>N132/Sheet1!$B132</f>
        <v>0.41221374045801529</v>
      </c>
      <c r="N132" s="2">
        <f t="shared" si="0"/>
        <v>54</v>
      </c>
      <c r="O132" s="2">
        <f>IF(Sheet1!$H132="ted",1,0)</f>
        <v>1</v>
      </c>
    </row>
    <row r="133" spans="1:15" ht="15.75" customHeight="1" x14ac:dyDescent="0.2">
      <c r="A133" s="11">
        <v>43024</v>
      </c>
      <c r="B133" s="12">
        <v>132</v>
      </c>
      <c r="C133" s="10" t="s">
        <v>53</v>
      </c>
      <c r="D133" s="10" t="s">
        <v>7</v>
      </c>
      <c r="E133" s="10">
        <v>1</v>
      </c>
      <c r="F133" s="10" t="s">
        <v>3</v>
      </c>
      <c r="G133" s="10">
        <v>0</v>
      </c>
      <c r="H133" s="10" t="s">
        <v>7</v>
      </c>
      <c r="I133" s="10">
        <v>2</v>
      </c>
      <c r="K133" s="2">
        <v>0.5</v>
      </c>
      <c r="L133" s="13">
        <f t="shared" si="1"/>
        <v>0.55555555555555558</v>
      </c>
      <c r="M133" s="13">
        <f>N133/Sheet1!$B133</f>
        <v>0.41666666666666669</v>
      </c>
      <c r="N133" s="2">
        <f t="shared" si="0"/>
        <v>55</v>
      </c>
      <c r="O133" s="2">
        <f>IF(Sheet1!$H133="ted",1,0)</f>
        <v>0</v>
      </c>
    </row>
    <row r="134" spans="1:15" ht="15.75" customHeight="1" x14ac:dyDescent="0.2">
      <c r="A134" s="11">
        <v>43036</v>
      </c>
      <c r="B134" s="12">
        <v>133</v>
      </c>
      <c r="C134" s="10" t="s">
        <v>53</v>
      </c>
      <c r="D134" s="10" t="s">
        <v>7</v>
      </c>
      <c r="E134" s="10">
        <v>0</v>
      </c>
      <c r="F134" s="10" t="s">
        <v>3</v>
      </c>
      <c r="G134" s="10">
        <v>0</v>
      </c>
      <c r="H134" s="10" t="s">
        <v>7</v>
      </c>
      <c r="I134" s="10">
        <v>2</v>
      </c>
      <c r="K134" s="2">
        <v>0.5</v>
      </c>
      <c r="L134" s="13">
        <f t="shared" si="1"/>
        <v>0.44444444444444442</v>
      </c>
      <c r="M134" s="13">
        <f>N134/Sheet1!$B134</f>
        <v>0.41353383458646614</v>
      </c>
      <c r="N134" s="2">
        <f t="shared" si="0"/>
        <v>55</v>
      </c>
      <c r="O134" s="2">
        <f>IF(Sheet1!$H134="ted",1,0)</f>
        <v>0</v>
      </c>
    </row>
    <row r="135" spans="1:15" ht="15.75" customHeight="1" x14ac:dyDescent="0.2">
      <c r="A135" s="11">
        <v>43036</v>
      </c>
      <c r="B135" s="12">
        <v>134</v>
      </c>
      <c r="C135" s="10" t="s">
        <v>53</v>
      </c>
      <c r="D135" s="10" t="s">
        <v>7</v>
      </c>
      <c r="E135" s="10">
        <v>0</v>
      </c>
      <c r="F135" s="10" t="s">
        <v>3</v>
      </c>
      <c r="G135" s="10">
        <v>0</v>
      </c>
      <c r="H135" s="10" t="s">
        <v>8</v>
      </c>
      <c r="I135" s="10">
        <v>2</v>
      </c>
      <c r="K135" s="2">
        <v>0.5</v>
      </c>
      <c r="L135" s="13">
        <f t="shared" si="1"/>
        <v>0.44444444444444442</v>
      </c>
      <c r="M135" s="13">
        <f>N135/Sheet1!$B135</f>
        <v>0.41044776119402987</v>
      </c>
      <c r="N135" s="2">
        <f t="shared" si="0"/>
        <v>55</v>
      </c>
      <c r="O135" s="2">
        <f>IF(Sheet1!$H135="ted",1,0)</f>
        <v>1</v>
      </c>
    </row>
    <row r="136" spans="1:15" ht="15.75" customHeight="1" x14ac:dyDescent="0.2">
      <c r="A136" s="11">
        <v>43036</v>
      </c>
      <c r="B136" s="12">
        <v>135</v>
      </c>
      <c r="C136" s="10" t="s">
        <v>53</v>
      </c>
      <c r="D136" s="10" t="s">
        <v>7</v>
      </c>
      <c r="E136" s="10">
        <v>0</v>
      </c>
      <c r="F136" s="10" t="s">
        <v>2</v>
      </c>
      <c r="G136" s="10">
        <v>5</v>
      </c>
      <c r="H136" s="10" t="s">
        <v>7</v>
      </c>
      <c r="I136" s="10">
        <v>3</v>
      </c>
      <c r="K136" s="2">
        <v>0.5</v>
      </c>
      <c r="L136" s="13">
        <f t="shared" si="1"/>
        <v>0.33333333333333331</v>
      </c>
      <c r="M136" s="13">
        <f>N136/Sheet1!$B136</f>
        <v>0.40740740740740738</v>
      </c>
      <c r="N136" s="2">
        <f t="shared" si="0"/>
        <v>55</v>
      </c>
      <c r="O136" s="2">
        <f>IF(Sheet1!$H136="ted",1,0)</f>
        <v>0</v>
      </c>
    </row>
    <row r="137" spans="1:15" ht="15.75" customHeight="1" x14ac:dyDescent="0.2">
      <c r="A137" s="11">
        <v>43048</v>
      </c>
      <c r="B137" s="12">
        <v>136</v>
      </c>
      <c r="C137" s="10" t="s">
        <v>53</v>
      </c>
      <c r="D137" s="10" t="s">
        <v>7</v>
      </c>
      <c r="E137" s="10">
        <v>0</v>
      </c>
      <c r="F137" s="10" t="s">
        <v>2</v>
      </c>
      <c r="G137" s="10">
        <v>1</v>
      </c>
      <c r="H137" s="10" t="s">
        <v>7</v>
      </c>
      <c r="I137" s="10">
        <v>3</v>
      </c>
      <c r="K137" s="2">
        <v>0.5</v>
      </c>
      <c r="L137" s="13">
        <f t="shared" si="1"/>
        <v>0.33333333333333331</v>
      </c>
      <c r="M137" s="13">
        <f>N137/Sheet1!$B137</f>
        <v>0.40441176470588236</v>
      </c>
      <c r="N137" s="2">
        <f t="shared" si="0"/>
        <v>55</v>
      </c>
      <c r="O137" s="2">
        <f>IF(Sheet1!$H137="ted",1,0)</f>
        <v>0</v>
      </c>
    </row>
    <row r="138" spans="1:15" ht="15.75" customHeight="1" x14ac:dyDescent="0.2">
      <c r="A138" s="11">
        <v>43048</v>
      </c>
      <c r="B138" s="12">
        <v>137</v>
      </c>
      <c r="C138" s="10" t="s">
        <v>53</v>
      </c>
      <c r="D138" s="10" t="s">
        <v>7</v>
      </c>
      <c r="E138" s="10">
        <v>0</v>
      </c>
      <c r="F138" s="10" t="s">
        <v>2</v>
      </c>
      <c r="G138" s="10">
        <v>1</v>
      </c>
      <c r="H138" s="10" t="s">
        <v>8</v>
      </c>
      <c r="I138" s="10">
        <v>1</v>
      </c>
      <c r="K138" s="2">
        <v>0.5</v>
      </c>
      <c r="L138" s="13">
        <f t="shared" si="1"/>
        <v>0.33333333333333331</v>
      </c>
      <c r="M138" s="13">
        <f>N138/Sheet1!$B138</f>
        <v>0.40145985401459855</v>
      </c>
      <c r="N138" s="2">
        <f t="shared" si="0"/>
        <v>55</v>
      </c>
      <c r="O138" s="2">
        <f>IF(Sheet1!$H138="ted",1,0)</f>
        <v>1</v>
      </c>
    </row>
    <row r="139" spans="1:15" ht="15.75" customHeight="1" x14ac:dyDescent="0.2">
      <c r="A139" s="11">
        <v>43048</v>
      </c>
      <c r="B139" s="12">
        <v>138</v>
      </c>
      <c r="C139" s="10" t="s">
        <v>53</v>
      </c>
      <c r="D139" s="10" t="s">
        <v>7</v>
      </c>
      <c r="E139" s="10">
        <v>1</v>
      </c>
      <c r="F139" s="10" t="s">
        <v>2</v>
      </c>
      <c r="G139" s="10">
        <v>4</v>
      </c>
      <c r="H139" s="10" t="s">
        <v>7</v>
      </c>
      <c r="I139" s="10">
        <v>2</v>
      </c>
      <c r="K139" s="2">
        <v>0.5</v>
      </c>
      <c r="L139" s="13">
        <f t="shared" si="1"/>
        <v>0.33333333333333331</v>
      </c>
      <c r="M139" s="13">
        <f>N139/Sheet1!$B139</f>
        <v>0.40579710144927539</v>
      </c>
      <c r="N139" s="2">
        <f t="shared" si="0"/>
        <v>56</v>
      </c>
      <c r="O139" s="2">
        <f>IF(Sheet1!$H139="ted",1,0)</f>
        <v>0</v>
      </c>
    </row>
    <row r="140" spans="1:15" ht="15.75" customHeight="1" x14ac:dyDescent="0.2">
      <c r="A140" s="11">
        <v>43048</v>
      </c>
      <c r="B140" s="12">
        <v>139</v>
      </c>
      <c r="C140" s="10" t="s">
        <v>53</v>
      </c>
      <c r="D140" s="10" t="s">
        <v>7</v>
      </c>
      <c r="E140" s="10">
        <v>0</v>
      </c>
      <c r="F140" s="10" t="s">
        <v>3</v>
      </c>
      <c r="G140" s="10">
        <v>1</v>
      </c>
      <c r="H140" s="10" t="s">
        <v>8</v>
      </c>
      <c r="I140" s="10">
        <v>0</v>
      </c>
      <c r="K140" s="2">
        <v>0.5</v>
      </c>
      <c r="L140" s="13">
        <f t="shared" si="1"/>
        <v>0.22222222222222221</v>
      </c>
      <c r="M140" s="13">
        <f>N140/Sheet1!$B140</f>
        <v>0.40287769784172661</v>
      </c>
      <c r="N140" s="2">
        <f t="shared" si="0"/>
        <v>56</v>
      </c>
      <c r="O140" s="2">
        <f>IF(Sheet1!$H140="ted",1,0)</f>
        <v>1</v>
      </c>
    </row>
    <row r="141" spans="1:15" ht="15.75" customHeight="1" x14ac:dyDescent="0.2">
      <c r="A141" s="11">
        <v>43051</v>
      </c>
      <c r="B141" s="12">
        <v>140</v>
      </c>
      <c r="C141" s="10" t="s">
        <v>53</v>
      </c>
      <c r="D141" s="10" t="s">
        <v>7</v>
      </c>
      <c r="E141" s="10">
        <v>1</v>
      </c>
      <c r="F141" s="10" t="s">
        <v>4</v>
      </c>
      <c r="G141" s="10">
        <v>0</v>
      </c>
      <c r="H141" s="10" t="s">
        <v>8</v>
      </c>
      <c r="I141" s="10">
        <v>1</v>
      </c>
      <c r="K141" s="2">
        <v>0.5</v>
      </c>
      <c r="L141" s="13">
        <f t="shared" si="1"/>
        <v>0.33333333333333331</v>
      </c>
      <c r="M141" s="13">
        <f>N141/Sheet1!$B141</f>
        <v>0.40714285714285714</v>
      </c>
      <c r="N141" s="2">
        <f t="shared" si="0"/>
        <v>57</v>
      </c>
      <c r="O141" s="2">
        <f>IF(Sheet1!$H141="ted",1,0)</f>
        <v>1</v>
      </c>
    </row>
    <row r="142" spans="1:15" ht="15.75" customHeight="1" x14ac:dyDescent="0.2">
      <c r="A142" s="11">
        <v>43051</v>
      </c>
      <c r="B142" s="12">
        <v>141</v>
      </c>
      <c r="C142" s="10" t="s">
        <v>53</v>
      </c>
      <c r="D142" s="10" t="s">
        <v>7</v>
      </c>
      <c r="E142" s="10">
        <v>0</v>
      </c>
      <c r="F142" s="10" t="s">
        <v>3</v>
      </c>
      <c r="G142" s="10">
        <v>0</v>
      </c>
      <c r="H142" s="10" t="s">
        <v>7</v>
      </c>
      <c r="I142" s="10">
        <v>0</v>
      </c>
      <c r="K142" s="2">
        <v>0.5</v>
      </c>
      <c r="L142" s="13">
        <f t="shared" si="1"/>
        <v>0.22222222222222221</v>
      </c>
      <c r="M142" s="13">
        <f>N142/Sheet1!$B142</f>
        <v>0.40425531914893614</v>
      </c>
      <c r="N142" s="2">
        <f t="shared" si="0"/>
        <v>57</v>
      </c>
      <c r="O142" s="2">
        <f>IF(Sheet1!$H142="ted",1,0)</f>
        <v>0</v>
      </c>
    </row>
    <row r="143" spans="1:15" ht="15.75" customHeight="1" x14ac:dyDescent="0.2">
      <c r="A143" s="11">
        <v>43051</v>
      </c>
      <c r="B143" s="12">
        <v>142</v>
      </c>
      <c r="C143" s="10" t="s">
        <v>53</v>
      </c>
      <c r="D143" s="10" t="s">
        <v>7</v>
      </c>
      <c r="E143" s="10">
        <v>1</v>
      </c>
      <c r="F143" s="10" t="s">
        <v>2</v>
      </c>
      <c r="G143" s="10">
        <v>3</v>
      </c>
      <c r="H143" s="10" t="s">
        <v>8</v>
      </c>
      <c r="I143" s="10">
        <v>3</v>
      </c>
      <c r="K143" s="2">
        <v>0.5</v>
      </c>
      <c r="L143" s="13">
        <f t="shared" si="1"/>
        <v>0.33333333333333331</v>
      </c>
      <c r="M143" s="13">
        <f>N143/Sheet1!$B143</f>
        <v>0.40845070422535212</v>
      </c>
      <c r="N143" s="2">
        <f t="shared" si="0"/>
        <v>58</v>
      </c>
      <c r="O143" s="2">
        <f>IF(Sheet1!$H143="ted",1,0)</f>
        <v>1</v>
      </c>
    </row>
    <row r="144" spans="1:15" ht="15.75" customHeight="1" x14ac:dyDescent="0.2">
      <c r="A144" s="11">
        <v>43051</v>
      </c>
      <c r="B144" s="12">
        <v>143</v>
      </c>
      <c r="C144" s="10" t="s">
        <v>53</v>
      </c>
      <c r="D144" s="10" t="s">
        <v>7</v>
      </c>
      <c r="E144" s="10">
        <v>0</v>
      </c>
      <c r="F144" s="10" t="s">
        <v>2</v>
      </c>
      <c r="G144" s="10">
        <v>6</v>
      </c>
      <c r="H144" s="10" t="s">
        <v>7</v>
      </c>
      <c r="I144" s="10">
        <v>0</v>
      </c>
      <c r="K144" s="2">
        <v>0.5</v>
      </c>
      <c r="L144" s="13">
        <f t="shared" si="1"/>
        <v>0.33333333333333331</v>
      </c>
      <c r="M144" s="13">
        <f>N144/Sheet1!$B144</f>
        <v>0.40559440559440557</v>
      </c>
      <c r="N144" s="2">
        <f t="shared" si="0"/>
        <v>58</v>
      </c>
      <c r="O144" s="2">
        <f>IF(Sheet1!$H144="ted",1,0)</f>
        <v>0</v>
      </c>
    </row>
    <row r="145" spans="1:15" ht="15.75" customHeight="1" x14ac:dyDescent="0.2">
      <c r="A145" s="11">
        <v>43051</v>
      </c>
      <c r="B145" s="12">
        <v>144</v>
      </c>
      <c r="C145" s="10" t="s">
        <v>53</v>
      </c>
      <c r="D145" s="10" t="s">
        <v>7</v>
      </c>
      <c r="E145" s="10">
        <v>1</v>
      </c>
      <c r="F145" s="10" t="s">
        <v>3</v>
      </c>
      <c r="G145" s="10">
        <v>0</v>
      </c>
      <c r="H145" s="10" t="s">
        <v>8</v>
      </c>
      <c r="I145" s="10">
        <v>0</v>
      </c>
      <c r="K145" s="2">
        <v>0.5</v>
      </c>
      <c r="L145" s="13">
        <f t="shared" si="1"/>
        <v>0.44444444444444442</v>
      </c>
      <c r="M145" s="13">
        <f>N145/Sheet1!$B145</f>
        <v>0.40972222222222221</v>
      </c>
      <c r="N145" s="2">
        <f t="shared" si="0"/>
        <v>59</v>
      </c>
      <c r="O145" s="2">
        <f>IF(Sheet1!$H145="ted",1,0)</f>
        <v>1</v>
      </c>
    </row>
    <row r="146" spans="1:15" ht="15.75" customHeight="1" x14ac:dyDescent="0.2">
      <c r="A146" s="11">
        <v>43051</v>
      </c>
      <c r="B146" s="12">
        <v>145</v>
      </c>
      <c r="C146" s="10" t="s">
        <v>53</v>
      </c>
      <c r="D146" s="10" t="s">
        <v>7</v>
      </c>
      <c r="E146" s="10">
        <v>0</v>
      </c>
      <c r="F146" s="10" t="s">
        <v>3</v>
      </c>
      <c r="G146" s="10">
        <v>3</v>
      </c>
      <c r="H146" s="10" t="s">
        <v>7</v>
      </c>
      <c r="I146" s="10">
        <v>0</v>
      </c>
      <c r="K146" s="2">
        <v>0.5</v>
      </c>
      <c r="L146" s="13">
        <f t="shared" si="1"/>
        <v>0.44444444444444442</v>
      </c>
      <c r="M146" s="13">
        <f>N146/Sheet1!$B146</f>
        <v>0.40689655172413791</v>
      </c>
      <c r="N146" s="2">
        <f t="shared" si="0"/>
        <v>59</v>
      </c>
      <c r="O146" s="2">
        <f>IF(Sheet1!$H146="ted",1,0)</f>
        <v>0</v>
      </c>
    </row>
    <row r="147" spans="1:15" ht="15.75" customHeight="1" x14ac:dyDescent="0.2">
      <c r="A147" s="11">
        <v>43051</v>
      </c>
      <c r="B147" s="12">
        <v>146</v>
      </c>
      <c r="C147" s="10" t="s">
        <v>53</v>
      </c>
      <c r="D147" s="10" t="s">
        <v>7</v>
      </c>
      <c r="E147" s="10">
        <v>1</v>
      </c>
      <c r="F147" s="10" t="s">
        <v>4</v>
      </c>
      <c r="G147" s="10">
        <v>0</v>
      </c>
      <c r="H147" s="10" t="s">
        <v>8</v>
      </c>
      <c r="I147" s="10">
        <v>0</v>
      </c>
      <c r="K147" s="2">
        <v>0.5</v>
      </c>
      <c r="L147" s="13">
        <f t="shared" si="1"/>
        <v>0.55555555555555558</v>
      </c>
      <c r="M147" s="13">
        <f>N147/Sheet1!$B147</f>
        <v>0.41095890410958902</v>
      </c>
      <c r="N147" s="2">
        <f t="shared" si="0"/>
        <v>60</v>
      </c>
      <c r="O147" s="2">
        <f>IF(Sheet1!$H147="ted",1,0)</f>
        <v>1</v>
      </c>
    </row>
    <row r="148" spans="1:15" ht="15.75" customHeight="1" x14ac:dyDescent="0.2">
      <c r="A148" s="11">
        <v>43088</v>
      </c>
      <c r="B148" s="12">
        <v>147</v>
      </c>
      <c r="C148" s="10" t="s">
        <v>53</v>
      </c>
      <c r="D148" s="10" t="s">
        <v>59</v>
      </c>
      <c r="E148" s="10">
        <v>0</v>
      </c>
      <c r="F148" s="10" t="s">
        <v>5</v>
      </c>
      <c r="G148" s="10">
        <v>0</v>
      </c>
      <c r="H148" s="10" t="s">
        <v>8</v>
      </c>
      <c r="I148" s="10">
        <v>2</v>
      </c>
      <c r="K148" s="2">
        <v>0.5</v>
      </c>
      <c r="L148" s="13">
        <f t="shared" si="1"/>
        <v>0.44444444444444442</v>
      </c>
      <c r="M148" s="13">
        <f>N148/Sheet1!$B148</f>
        <v>0.40816326530612246</v>
      </c>
      <c r="N148" s="2">
        <f t="shared" si="0"/>
        <v>60</v>
      </c>
      <c r="O148" s="2">
        <f>IF(Sheet1!$H148="ted",1,0)</f>
        <v>1</v>
      </c>
    </row>
    <row r="149" spans="1:15" ht="15.75" customHeight="1" x14ac:dyDescent="0.2">
      <c r="A149" s="11">
        <v>43088</v>
      </c>
      <c r="B149" s="12">
        <v>148</v>
      </c>
      <c r="C149" s="10" t="s">
        <v>53</v>
      </c>
      <c r="D149" s="10" t="s">
        <v>59</v>
      </c>
      <c r="E149" s="10">
        <v>1</v>
      </c>
      <c r="F149" s="10" t="s">
        <v>3</v>
      </c>
      <c r="G149" s="10">
        <v>0</v>
      </c>
      <c r="H149" s="10" t="s">
        <v>59</v>
      </c>
      <c r="I149" s="10">
        <v>0</v>
      </c>
      <c r="K149" s="2">
        <v>0.5</v>
      </c>
      <c r="L149" s="13">
        <f t="shared" si="1"/>
        <v>0.55555555555555558</v>
      </c>
      <c r="M149" s="13">
        <f>N149/Sheet1!$B149</f>
        <v>0.41216216216216217</v>
      </c>
      <c r="N149" s="2">
        <f t="shared" si="0"/>
        <v>61</v>
      </c>
      <c r="O149" s="2">
        <f>IF(Sheet1!$H149="ted",1,0)</f>
        <v>0</v>
      </c>
    </row>
    <row r="150" spans="1:15" ht="15.75" customHeight="1" x14ac:dyDescent="0.2">
      <c r="A150" s="11">
        <v>43088</v>
      </c>
      <c r="B150" s="12">
        <v>149</v>
      </c>
      <c r="C150" s="10" t="s">
        <v>53</v>
      </c>
      <c r="D150" s="10" t="s">
        <v>59</v>
      </c>
      <c r="E150" s="10">
        <v>1</v>
      </c>
      <c r="F150" s="10" t="s">
        <v>2</v>
      </c>
      <c r="G150" s="10">
        <v>1</v>
      </c>
      <c r="H150" s="10" t="s">
        <v>8</v>
      </c>
      <c r="I150" s="10">
        <v>0</v>
      </c>
      <c r="K150" s="2">
        <v>0.5</v>
      </c>
      <c r="L150" s="13">
        <f t="shared" si="1"/>
        <v>0.55555555555555558</v>
      </c>
      <c r="M150" s="13">
        <f>N150/Sheet1!$B150</f>
        <v>0.41610738255033558</v>
      </c>
      <c r="N150" s="2">
        <f t="shared" si="0"/>
        <v>62</v>
      </c>
      <c r="O150" s="2">
        <f>IF(Sheet1!$H150="ted",1,0)</f>
        <v>1</v>
      </c>
    </row>
    <row r="151" spans="1:15" ht="15.75" customHeight="1" x14ac:dyDescent="0.2">
      <c r="A151" s="11">
        <v>43088</v>
      </c>
      <c r="B151" s="12">
        <v>150</v>
      </c>
      <c r="C151" s="10" t="s">
        <v>53</v>
      </c>
      <c r="D151" s="10" t="s">
        <v>59</v>
      </c>
      <c r="E151" s="10">
        <v>0</v>
      </c>
      <c r="F151" s="10" t="s">
        <v>3</v>
      </c>
      <c r="G151" s="10">
        <v>1</v>
      </c>
      <c r="H151" s="10" t="s">
        <v>59</v>
      </c>
      <c r="I151" s="10">
        <v>0</v>
      </c>
      <c r="K151" s="2">
        <v>0.5</v>
      </c>
      <c r="L151" s="13">
        <f t="shared" si="1"/>
        <v>0.55555555555555558</v>
      </c>
      <c r="M151" s="13">
        <f>N151/Sheet1!$B151</f>
        <v>0.41333333333333333</v>
      </c>
      <c r="N151" s="2">
        <f t="shared" si="0"/>
        <v>62</v>
      </c>
      <c r="O151" s="2">
        <f>IF(Sheet1!$H151="ted",1,0)</f>
        <v>0</v>
      </c>
    </row>
    <row r="152" spans="1:15" ht="15.75" customHeight="1" x14ac:dyDescent="0.2">
      <c r="A152" s="11">
        <v>43088</v>
      </c>
      <c r="B152" s="12">
        <v>151</v>
      </c>
      <c r="C152" s="10" t="s">
        <v>53</v>
      </c>
      <c r="D152" s="10" t="s">
        <v>59</v>
      </c>
      <c r="E152" s="10">
        <v>1</v>
      </c>
      <c r="F152" s="10" t="s">
        <v>3</v>
      </c>
      <c r="G152" s="10">
        <v>0</v>
      </c>
      <c r="H152" s="10" t="s">
        <v>8</v>
      </c>
      <c r="I152" s="10">
        <v>0</v>
      </c>
      <c r="K152" s="2">
        <v>0.5</v>
      </c>
      <c r="L152" s="13">
        <f t="shared" si="1"/>
        <v>0.55555555555555558</v>
      </c>
      <c r="M152" s="13">
        <f>N152/Sheet1!$B152</f>
        <v>0.41721854304635764</v>
      </c>
      <c r="N152" s="2">
        <f t="shared" si="0"/>
        <v>63</v>
      </c>
      <c r="O152" s="2">
        <f>IF(Sheet1!$H152="ted",1,0)</f>
        <v>1</v>
      </c>
    </row>
    <row r="153" spans="1:15" ht="15.75" customHeight="1" x14ac:dyDescent="0.2">
      <c r="A153" s="11">
        <v>43088</v>
      </c>
      <c r="B153" s="12">
        <v>152</v>
      </c>
      <c r="C153" s="10" t="s">
        <v>53</v>
      </c>
      <c r="D153" s="10" t="s">
        <v>59</v>
      </c>
      <c r="E153" s="10">
        <v>1</v>
      </c>
      <c r="F153" s="10" t="s">
        <v>3</v>
      </c>
      <c r="G153" s="10">
        <v>1</v>
      </c>
      <c r="H153" s="10" t="s">
        <v>59</v>
      </c>
      <c r="I153" s="10">
        <v>0</v>
      </c>
      <c r="K153" s="2">
        <v>0.5</v>
      </c>
      <c r="L153" s="13">
        <f t="shared" si="1"/>
        <v>0.66666666666666663</v>
      </c>
      <c r="M153" s="13">
        <f>N153/Sheet1!$B153</f>
        <v>0.42105263157894735</v>
      </c>
      <c r="N153" s="2">
        <f t="shared" si="0"/>
        <v>64</v>
      </c>
      <c r="O153" s="2">
        <f>IF(Sheet1!$H153="ted",1,0)</f>
        <v>0</v>
      </c>
    </row>
    <row r="154" spans="1:15" ht="15.75" customHeight="1" x14ac:dyDescent="0.2">
      <c r="A154" s="11">
        <v>43110</v>
      </c>
      <c r="B154" s="12">
        <v>153</v>
      </c>
      <c r="C154" s="10" t="s">
        <v>53</v>
      </c>
      <c r="D154" s="10" t="s">
        <v>7</v>
      </c>
      <c r="E154" s="10">
        <v>1</v>
      </c>
      <c r="F154" s="10" t="s">
        <v>3</v>
      </c>
      <c r="G154" s="10">
        <v>4</v>
      </c>
      <c r="H154" s="10" t="s">
        <v>7</v>
      </c>
      <c r="I154" s="10">
        <v>0</v>
      </c>
      <c r="K154" s="2">
        <v>0.5</v>
      </c>
      <c r="L154" s="13">
        <f t="shared" si="1"/>
        <v>0.66666666666666663</v>
      </c>
      <c r="M154" s="13">
        <f>N154/Sheet1!$B154</f>
        <v>0.42483660130718953</v>
      </c>
      <c r="N154" s="2">
        <f t="shared" si="0"/>
        <v>65</v>
      </c>
      <c r="O154" s="2">
        <f>IF(Sheet1!$H154="ted",1,0)</f>
        <v>0</v>
      </c>
    </row>
    <row r="155" spans="1:15" ht="15.75" customHeight="1" x14ac:dyDescent="0.2">
      <c r="A155" s="11">
        <v>43110</v>
      </c>
      <c r="B155" s="12">
        <v>154</v>
      </c>
      <c r="C155" s="10" t="s">
        <v>53</v>
      </c>
      <c r="D155" s="10" t="s">
        <v>7</v>
      </c>
      <c r="E155" s="10">
        <v>1</v>
      </c>
      <c r="F155" s="10" t="s">
        <v>3</v>
      </c>
      <c r="G155" s="10">
        <v>2</v>
      </c>
      <c r="H155" s="10" t="s">
        <v>8</v>
      </c>
      <c r="I155" s="10">
        <v>0</v>
      </c>
      <c r="K155" s="2">
        <v>0.5</v>
      </c>
      <c r="L155" s="13">
        <f t="shared" si="1"/>
        <v>0.77777777777777779</v>
      </c>
      <c r="M155" s="13">
        <f>N155/Sheet1!$B155</f>
        <v>0.42857142857142855</v>
      </c>
      <c r="N155" s="2">
        <f t="shared" si="0"/>
        <v>66</v>
      </c>
      <c r="O155" s="2">
        <f>IF(Sheet1!$H155="ted",1,0)</f>
        <v>1</v>
      </c>
    </row>
    <row r="156" spans="1:15" ht="15.75" customHeight="1" x14ac:dyDescent="0.2">
      <c r="A156" s="11">
        <v>43110</v>
      </c>
      <c r="B156" s="12">
        <v>155</v>
      </c>
      <c r="C156" s="10" t="s">
        <v>53</v>
      </c>
      <c r="D156" s="10" t="s">
        <v>7</v>
      </c>
      <c r="E156" s="10">
        <v>1</v>
      </c>
      <c r="F156" s="10" t="s">
        <v>2</v>
      </c>
      <c r="G156" s="10">
        <v>3</v>
      </c>
      <c r="H156" s="10" t="s">
        <v>7</v>
      </c>
      <c r="I156" s="10">
        <v>3</v>
      </c>
      <c r="K156" s="2">
        <v>0.5</v>
      </c>
      <c r="L156" s="13">
        <f t="shared" si="1"/>
        <v>0.77777777777777779</v>
      </c>
      <c r="M156" s="13">
        <f>N156/Sheet1!$B156</f>
        <v>0.43225806451612903</v>
      </c>
      <c r="N156" s="2">
        <f t="shared" si="0"/>
        <v>67</v>
      </c>
      <c r="O156" s="2">
        <f>IF(Sheet1!$H156="ted",1,0)</f>
        <v>0</v>
      </c>
    </row>
    <row r="157" spans="1:15" ht="15.75" customHeight="1" x14ac:dyDescent="0.2">
      <c r="A157" s="11">
        <v>43155</v>
      </c>
      <c r="B157" s="12">
        <v>156</v>
      </c>
      <c r="C157" s="10" t="s">
        <v>65</v>
      </c>
      <c r="D157" s="10" t="s">
        <v>7</v>
      </c>
      <c r="E157" s="10">
        <v>0</v>
      </c>
      <c r="F157" s="10" t="s">
        <v>3</v>
      </c>
      <c r="G157" s="10">
        <v>3</v>
      </c>
      <c r="H157" s="10" t="s">
        <v>7</v>
      </c>
      <c r="I157" s="10">
        <v>0</v>
      </c>
      <c r="K157" s="2">
        <v>0.5</v>
      </c>
      <c r="L157" s="13">
        <f t="shared" si="1"/>
        <v>0.77777777777777779</v>
      </c>
      <c r="M157" s="13">
        <f>N157/Sheet1!$B157</f>
        <v>0.42948717948717946</v>
      </c>
      <c r="N157" s="2">
        <f t="shared" si="0"/>
        <v>67</v>
      </c>
      <c r="O157" s="2">
        <f>IF(Sheet1!$H157="ted",1,0)</f>
        <v>0</v>
      </c>
    </row>
    <row r="158" spans="1:15" ht="15.75" customHeight="1" x14ac:dyDescent="0.2">
      <c r="A158" s="11">
        <v>43155</v>
      </c>
      <c r="B158" s="12">
        <v>157</v>
      </c>
      <c r="C158" s="10" t="s">
        <v>65</v>
      </c>
      <c r="D158" s="10" t="s">
        <v>7</v>
      </c>
      <c r="E158" s="10">
        <v>1</v>
      </c>
      <c r="F158" s="10" t="s">
        <v>4</v>
      </c>
      <c r="G158" s="10">
        <v>0</v>
      </c>
      <c r="H158" s="10" t="s">
        <v>8</v>
      </c>
      <c r="I158" s="10">
        <v>0</v>
      </c>
      <c r="K158" s="2">
        <v>0.5</v>
      </c>
      <c r="L158" s="13">
        <f t="shared" si="1"/>
        <v>0.77777777777777779</v>
      </c>
      <c r="M158" s="13">
        <f>N158/Sheet1!$B158</f>
        <v>0.43312101910828027</v>
      </c>
      <c r="N158" s="2">
        <f t="shared" si="0"/>
        <v>68</v>
      </c>
      <c r="O158" s="2">
        <f>IF(Sheet1!$H158="ted",1,0)</f>
        <v>1</v>
      </c>
    </row>
    <row r="159" spans="1:15" ht="15.75" customHeight="1" x14ac:dyDescent="0.2">
      <c r="A159" s="11">
        <v>43155</v>
      </c>
      <c r="B159" s="12">
        <v>158</v>
      </c>
      <c r="C159" s="10" t="s">
        <v>65</v>
      </c>
      <c r="D159" s="10" t="s">
        <v>7</v>
      </c>
      <c r="E159" s="10">
        <v>0</v>
      </c>
      <c r="F159" s="10" t="s">
        <v>3</v>
      </c>
      <c r="G159" s="10">
        <v>0</v>
      </c>
      <c r="H159" s="10" t="s">
        <v>7</v>
      </c>
      <c r="I159" s="10">
        <v>0</v>
      </c>
      <c r="K159" s="2">
        <v>0.5</v>
      </c>
      <c r="L159" s="13">
        <f t="shared" si="1"/>
        <v>0.66666666666666663</v>
      </c>
      <c r="M159" s="13">
        <f>N159/Sheet1!$B159</f>
        <v>0.43037974683544306</v>
      </c>
      <c r="N159" s="2">
        <f t="shared" si="0"/>
        <v>68</v>
      </c>
      <c r="O159" s="2">
        <f>IF(Sheet1!$H159="ted",1,0)</f>
        <v>0</v>
      </c>
    </row>
    <row r="160" spans="1:15" ht="15.75" customHeight="1" x14ac:dyDescent="0.2">
      <c r="A160" s="11">
        <v>43178</v>
      </c>
      <c r="B160" s="12">
        <v>159</v>
      </c>
      <c r="C160" s="10" t="s">
        <v>53</v>
      </c>
      <c r="D160" s="10" t="s">
        <v>7</v>
      </c>
      <c r="E160" s="10">
        <v>0</v>
      </c>
      <c r="F160" s="10" t="s">
        <v>3</v>
      </c>
      <c r="G160" s="10">
        <v>1</v>
      </c>
      <c r="H160" s="10" t="s">
        <v>7</v>
      </c>
      <c r="I160" s="10">
        <v>0</v>
      </c>
      <c r="K160" s="2">
        <v>0.5</v>
      </c>
      <c r="L160" s="13">
        <f t="shared" si="1"/>
        <v>0.66666666666666663</v>
      </c>
      <c r="M160" s="13">
        <f>N160/Sheet1!$B160</f>
        <v>0.42767295597484278</v>
      </c>
      <c r="N160" s="2">
        <f t="shared" si="0"/>
        <v>68</v>
      </c>
      <c r="O160" s="2">
        <f>IF(Sheet1!$H160="ted",1,0)</f>
        <v>0</v>
      </c>
    </row>
    <row r="161" spans="1:15" ht="15.75" customHeight="1" x14ac:dyDescent="0.2">
      <c r="A161" s="11">
        <v>43178</v>
      </c>
      <c r="B161" s="12">
        <v>160</v>
      </c>
      <c r="C161" s="10" t="s">
        <v>53</v>
      </c>
      <c r="D161" s="10" t="s">
        <v>7</v>
      </c>
      <c r="E161" s="10">
        <v>1</v>
      </c>
      <c r="F161" s="10" t="s">
        <v>3</v>
      </c>
      <c r="G161" s="10">
        <v>2</v>
      </c>
      <c r="H161" s="10" t="s">
        <v>8</v>
      </c>
      <c r="I161" s="10">
        <v>0</v>
      </c>
      <c r="K161" s="2">
        <v>0.5</v>
      </c>
      <c r="L161" s="13">
        <f t="shared" si="1"/>
        <v>0.66666666666666663</v>
      </c>
      <c r="M161" s="13">
        <f>N161/Sheet1!$B161</f>
        <v>0.43125000000000002</v>
      </c>
      <c r="N161" s="2">
        <f t="shared" si="0"/>
        <v>69</v>
      </c>
      <c r="O161" s="2">
        <f>IF(Sheet1!$H161="ted",1,0)</f>
        <v>1</v>
      </c>
    </row>
    <row r="162" spans="1:15" ht="15.75" customHeight="1" x14ac:dyDescent="0.2">
      <c r="A162" s="11">
        <v>43178</v>
      </c>
      <c r="B162" s="12">
        <v>161</v>
      </c>
      <c r="C162" s="10" t="s">
        <v>53</v>
      </c>
      <c r="D162" s="10" t="s">
        <v>7</v>
      </c>
      <c r="E162" s="10">
        <v>1</v>
      </c>
      <c r="F162" s="10" t="s">
        <v>3</v>
      </c>
      <c r="G162" s="10">
        <v>3</v>
      </c>
      <c r="H162" s="10" t="s">
        <v>7</v>
      </c>
      <c r="I162" s="10">
        <v>0</v>
      </c>
      <c r="K162" s="2">
        <v>0.5</v>
      </c>
      <c r="L162" s="13">
        <f t="shared" si="1"/>
        <v>0.66666666666666663</v>
      </c>
      <c r="M162" s="13">
        <f>N162/Sheet1!$B162</f>
        <v>0.43478260869565216</v>
      </c>
      <c r="N162" s="2">
        <f t="shared" si="0"/>
        <v>70</v>
      </c>
      <c r="O162" s="2">
        <f>IF(Sheet1!$H162="ted",1,0)</f>
        <v>0</v>
      </c>
    </row>
    <row r="163" spans="1:15" ht="15.75" customHeight="1" x14ac:dyDescent="0.2">
      <c r="A163" s="11">
        <v>43182</v>
      </c>
      <c r="B163" s="12">
        <v>162</v>
      </c>
      <c r="C163" s="10" t="s">
        <v>53</v>
      </c>
      <c r="D163" s="10" t="s">
        <v>7</v>
      </c>
      <c r="E163" s="10">
        <v>1</v>
      </c>
      <c r="F163" s="10" t="s">
        <v>3</v>
      </c>
      <c r="G163" s="10">
        <v>1</v>
      </c>
      <c r="H163" s="10" t="s">
        <v>8</v>
      </c>
      <c r="I163" s="10">
        <v>0</v>
      </c>
      <c r="K163" s="2">
        <v>0.5</v>
      </c>
      <c r="L163" s="13">
        <f t="shared" si="1"/>
        <v>0.66666666666666663</v>
      </c>
      <c r="M163" s="13">
        <f>N163/Sheet1!$B163</f>
        <v>0.43827160493827161</v>
      </c>
      <c r="N163" s="2">
        <f t="shared" si="0"/>
        <v>71</v>
      </c>
      <c r="O163" s="2">
        <f>IF(Sheet1!$H163="ted",1,0)</f>
        <v>1</v>
      </c>
    </row>
    <row r="164" spans="1:15" ht="15.75" customHeight="1" x14ac:dyDescent="0.2">
      <c r="A164" s="11">
        <v>43182</v>
      </c>
      <c r="B164" s="12">
        <v>163</v>
      </c>
      <c r="C164" s="10" t="s">
        <v>53</v>
      </c>
      <c r="D164" s="10" t="s">
        <v>7</v>
      </c>
      <c r="E164" s="10">
        <v>0</v>
      </c>
      <c r="F164" s="10" t="s">
        <v>3</v>
      </c>
      <c r="G164" s="10">
        <v>1</v>
      </c>
      <c r="H164" s="10" t="s">
        <v>7</v>
      </c>
      <c r="I164" s="10">
        <v>0</v>
      </c>
      <c r="K164" s="2">
        <v>0.5</v>
      </c>
      <c r="L164" s="13">
        <f t="shared" si="1"/>
        <v>0.55555555555555558</v>
      </c>
      <c r="M164" s="13">
        <f>N164/Sheet1!$B164</f>
        <v>0.43558282208588955</v>
      </c>
      <c r="N164" s="2">
        <f t="shared" si="0"/>
        <v>71</v>
      </c>
      <c r="O164" s="2">
        <f>IF(Sheet1!$H164="ted",1,0)</f>
        <v>0</v>
      </c>
    </row>
    <row r="165" spans="1:15" ht="15.75" customHeight="1" x14ac:dyDescent="0.2">
      <c r="A165" s="11">
        <v>43182</v>
      </c>
      <c r="B165" s="12">
        <v>164</v>
      </c>
      <c r="C165" s="10" t="s">
        <v>53</v>
      </c>
      <c r="D165" s="10" t="s">
        <v>7</v>
      </c>
      <c r="E165" s="10">
        <v>1</v>
      </c>
      <c r="F165" s="10" t="s">
        <v>2</v>
      </c>
      <c r="G165" s="10">
        <v>1</v>
      </c>
      <c r="H165" s="10" t="s">
        <v>7</v>
      </c>
      <c r="I165" s="10">
        <v>3</v>
      </c>
      <c r="K165" s="2">
        <v>0.5</v>
      </c>
      <c r="L165" s="13">
        <f t="shared" si="1"/>
        <v>0.55555555555555558</v>
      </c>
      <c r="M165" s="13">
        <f>N165/Sheet1!$B165</f>
        <v>0.43902439024390244</v>
      </c>
      <c r="N165" s="2">
        <f t="shared" si="0"/>
        <v>72</v>
      </c>
      <c r="O165" s="2">
        <f>IF(Sheet1!$H165="ted",1,0)</f>
        <v>0</v>
      </c>
    </row>
    <row r="166" spans="1:15" ht="15.75" customHeight="1" x14ac:dyDescent="0.2">
      <c r="A166" s="11">
        <v>43182</v>
      </c>
      <c r="B166" s="12">
        <v>165</v>
      </c>
      <c r="C166" s="10" t="s">
        <v>53</v>
      </c>
      <c r="D166" s="10" t="s">
        <v>7</v>
      </c>
      <c r="E166" s="10">
        <v>0</v>
      </c>
      <c r="F166" s="10" t="s">
        <v>2</v>
      </c>
      <c r="G166" s="10">
        <v>2</v>
      </c>
      <c r="H166" s="10" t="s">
        <v>7</v>
      </c>
      <c r="I166" s="10">
        <v>2</v>
      </c>
      <c r="K166" s="2">
        <v>0.5</v>
      </c>
      <c r="L166" s="13">
        <f t="shared" si="1"/>
        <v>0.55555555555555558</v>
      </c>
      <c r="M166" s="13">
        <f>N166/Sheet1!$B166</f>
        <v>0.43636363636363634</v>
      </c>
      <c r="N166" s="2">
        <f t="shared" si="0"/>
        <v>72</v>
      </c>
      <c r="O166" s="2">
        <f>IF(Sheet1!$H166="ted",1,0)</f>
        <v>0</v>
      </c>
    </row>
    <row r="167" spans="1:15" ht="15.75" customHeight="1" x14ac:dyDescent="0.2">
      <c r="A167" s="11">
        <v>43182</v>
      </c>
      <c r="B167" s="12">
        <v>166</v>
      </c>
      <c r="C167" s="10" t="s">
        <v>53</v>
      </c>
      <c r="D167" s="10" t="s">
        <v>7</v>
      </c>
      <c r="E167" s="10">
        <v>1</v>
      </c>
      <c r="F167" s="10" t="s">
        <v>2</v>
      </c>
      <c r="G167" s="10">
        <v>1</v>
      </c>
      <c r="H167" s="10" t="s">
        <v>8</v>
      </c>
      <c r="I167" s="10">
        <v>5</v>
      </c>
      <c r="K167" s="2">
        <v>0.5</v>
      </c>
      <c r="L167" s="13">
        <f t="shared" si="1"/>
        <v>0.55555555555555558</v>
      </c>
      <c r="M167" s="13">
        <f>N167/Sheet1!$B167</f>
        <v>0.43975903614457829</v>
      </c>
      <c r="N167" s="2">
        <f t="shared" si="0"/>
        <v>73</v>
      </c>
      <c r="O167" s="2">
        <f>IF(Sheet1!$H167="ted",1,0)</f>
        <v>1</v>
      </c>
    </row>
    <row r="168" spans="1:15" ht="15.75" customHeight="1" x14ac:dyDescent="0.2">
      <c r="A168" s="11">
        <v>43182</v>
      </c>
      <c r="B168" s="12">
        <v>167</v>
      </c>
      <c r="C168" s="10" t="s">
        <v>53</v>
      </c>
      <c r="D168" s="10" t="s">
        <v>7</v>
      </c>
      <c r="E168" s="10">
        <v>0</v>
      </c>
      <c r="F168" s="10" t="s">
        <v>3</v>
      </c>
      <c r="G168" s="10">
        <v>1</v>
      </c>
      <c r="H168" s="10" t="s">
        <v>8</v>
      </c>
      <c r="I168" s="10">
        <v>0</v>
      </c>
      <c r="K168" s="2">
        <v>0.5</v>
      </c>
      <c r="L168" s="13">
        <f t="shared" si="1"/>
        <v>0.55555555555555558</v>
      </c>
      <c r="M168" s="13">
        <f>N168/Sheet1!$B168</f>
        <v>0.43712574850299402</v>
      </c>
      <c r="N168" s="2">
        <f t="shared" si="0"/>
        <v>73</v>
      </c>
      <c r="O168" s="2">
        <f>IF(Sheet1!$H168="ted",1,0)</f>
        <v>1</v>
      </c>
    </row>
    <row r="169" spans="1:15" ht="15.75" customHeight="1" x14ac:dyDescent="0.2">
      <c r="A169" s="11">
        <v>43196</v>
      </c>
      <c r="B169" s="12">
        <v>168</v>
      </c>
      <c r="C169" s="10" t="s">
        <v>53</v>
      </c>
      <c r="D169" s="10" t="s">
        <v>7</v>
      </c>
      <c r="E169" s="10">
        <v>0</v>
      </c>
      <c r="F169" s="10" t="s">
        <v>2</v>
      </c>
      <c r="G169" s="10">
        <v>4</v>
      </c>
      <c r="H169" s="10" t="s">
        <v>8</v>
      </c>
      <c r="I169" s="10">
        <v>0</v>
      </c>
      <c r="K169" s="2">
        <v>0.5</v>
      </c>
      <c r="L169" s="13">
        <f t="shared" si="1"/>
        <v>0.55555555555555558</v>
      </c>
      <c r="M169" s="13">
        <f>N169/Sheet1!$B169</f>
        <v>0.43452380952380953</v>
      </c>
      <c r="N169" s="2">
        <f t="shared" si="0"/>
        <v>73</v>
      </c>
      <c r="O169" s="2">
        <f>IF(Sheet1!$H169="ted",1,0)</f>
        <v>1</v>
      </c>
    </row>
    <row r="170" spans="1:15" ht="15.75" customHeight="1" x14ac:dyDescent="0.2">
      <c r="A170" s="11">
        <v>43196</v>
      </c>
      <c r="B170" s="12">
        <v>169</v>
      </c>
      <c r="C170" s="10" t="s">
        <v>53</v>
      </c>
      <c r="D170" s="10" t="s">
        <v>7</v>
      </c>
      <c r="E170" s="10">
        <v>1</v>
      </c>
      <c r="F170" s="10" t="s">
        <v>3</v>
      </c>
      <c r="G170" s="10">
        <v>0</v>
      </c>
      <c r="H170" s="10" t="s">
        <v>7</v>
      </c>
      <c r="I170" s="10">
        <v>0</v>
      </c>
      <c r="K170" s="2">
        <v>0.5</v>
      </c>
      <c r="L170" s="13">
        <f t="shared" si="1"/>
        <v>0.55555555555555558</v>
      </c>
      <c r="M170" s="13">
        <f>N170/Sheet1!$B170</f>
        <v>0.43786982248520712</v>
      </c>
      <c r="N170" s="2">
        <f t="shared" si="0"/>
        <v>74</v>
      </c>
      <c r="O170" s="2">
        <f>IF(Sheet1!$H170="ted",1,0)</f>
        <v>0</v>
      </c>
    </row>
    <row r="171" spans="1:15" ht="15.75" customHeight="1" x14ac:dyDescent="0.2">
      <c r="A171" s="11">
        <v>43196</v>
      </c>
      <c r="B171" s="12">
        <v>170</v>
      </c>
      <c r="C171" s="10" t="s">
        <v>53</v>
      </c>
      <c r="D171" s="10" t="s">
        <v>7</v>
      </c>
      <c r="E171" s="10">
        <v>0</v>
      </c>
      <c r="F171" s="10" t="s">
        <v>3</v>
      </c>
      <c r="G171" s="10">
        <v>1</v>
      </c>
      <c r="H171" s="10" t="s">
        <v>7</v>
      </c>
      <c r="I171" s="10">
        <v>0</v>
      </c>
      <c r="K171" s="2">
        <v>0.5</v>
      </c>
      <c r="L171" s="13">
        <f t="shared" si="1"/>
        <v>0.44444444444444442</v>
      </c>
      <c r="M171" s="13">
        <f>N171/Sheet1!$B171</f>
        <v>0.43529411764705883</v>
      </c>
      <c r="N171" s="2">
        <f t="shared" si="0"/>
        <v>74</v>
      </c>
      <c r="O171" s="2">
        <f>IF(Sheet1!$H171="ted",1,0)</f>
        <v>0</v>
      </c>
    </row>
    <row r="172" spans="1:15" ht="15.75" customHeight="1" x14ac:dyDescent="0.2">
      <c r="A172" s="11">
        <v>43196</v>
      </c>
      <c r="B172" s="12">
        <v>171</v>
      </c>
      <c r="C172" s="10" t="s">
        <v>53</v>
      </c>
      <c r="D172" s="10" t="s">
        <v>7</v>
      </c>
      <c r="E172" s="10">
        <v>0</v>
      </c>
      <c r="F172" s="10" t="s">
        <v>3</v>
      </c>
      <c r="G172" s="10">
        <v>1</v>
      </c>
      <c r="H172" s="10" t="s">
        <v>7</v>
      </c>
      <c r="I172" s="10">
        <v>0</v>
      </c>
      <c r="K172" s="2">
        <v>0.5</v>
      </c>
      <c r="L172" s="13">
        <f t="shared" si="1"/>
        <v>0.33333333333333331</v>
      </c>
      <c r="M172" s="13">
        <f>N172/Sheet1!$B172</f>
        <v>0.43274853801169588</v>
      </c>
      <c r="N172" s="2">
        <f t="shared" si="0"/>
        <v>74</v>
      </c>
      <c r="O172" s="2">
        <f>IF(Sheet1!$H172="ted",1,0)</f>
        <v>0</v>
      </c>
    </row>
    <row r="173" spans="1:15" ht="15.75" customHeight="1" x14ac:dyDescent="0.2">
      <c r="A173" s="11">
        <v>43196</v>
      </c>
      <c r="B173" s="12">
        <v>172</v>
      </c>
      <c r="C173" s="10" t="s">
        <v>53</v>
      </c>
      <c r="D173" s="10" t="s">
        <v>7</v>
      </c>
      <c r="E173" s="10">
        <v>1</v>
      </c>
      <c r="F173" s="10" t="s">
        <v>3</v>
      </c>
      <c r="G173" s="10">
        <v>1</v>
      </c>
      <c r="H173" s="10" t="s">
        <v>8</v>
      </c>
      <c r="I173" s="10">
        <v>0</v>
      </c>
      <c r="K173" s="2">
        <v>0.5</v>
      </c>
      <c r="L173" s="13">
        <f t="shared" si="1"/>
        <v>0.44444444444444442</v>
      </c>
      <c r="M173" s="13">
        <f>N173/Sheet1!$B173</f>
        <v>0.43604651162790697</v>
      </c>
      <c r="N173" s="2">
        <f t="shared" si="0"/>
        <v>75</v>
      </c>
      <c r="O173" s="2">
        <f>IF(Sheet1!$H173="ted",1,0)</f>
        <v>1</v>
      </c>
    </row>
    <row r="174" spans="1:15" ht="15.75" customHeight="1" x14ac:dyDescent="0.2">
      <c r="A174" s="11">
        <v>43196</v>
      </c>
      <c r="B174" s="12">
        <v>173</v>
      </c>
      <c r="C174" s="10" t="s">
        <v>53</v>
      </c>
      <c r="D174" s="10" t="s">
        <v>7</v>
      </c>
      <c r="E174" s="10">
        <v>1</v>
      </c>
      <c r="F174" s="10" t="s">
        <v>3</v>
      </c>
      <c r="G174" s="10">
        <v>1</v>
      </c>
      <c r="H174" s="10" t="s">
        <v>8</v>
      </c>
      <c r="I174" s="10">
        <v>0</v>
      </c>
      <c r="K174" s="2">
        <v>0.5</v>
      </c>
      <c r="L174" s="13">
        <f t="shared" si="1"/>
        <v>0.44444444444444442</v>
      </c>
      <c r="M174" s="13">
        <f>N174/Sheet1!$B174</f>
        <v>0.43930635838150289</v>
      </c>
      <c r="N174" s="2">
        <f t="shared" si="0"/>
        <v>76</v>
      </c>
      <c r="O174" s="2">
        <f>IF(Sheet1!$H174="ted",1,0)</f>
        <v>1</v>
      </c>
    </row>
    <row r="175" spans="1:15" ht="15.75" customHeight="1" x14ac:dyDescent="0.2">
      <c r="A175" s="11">
        <v>43208</v>
      </c>
      <c r="B175" s="12">
        <v>174</v>
      </c>
      <c r="C175" s="10" t="s">
        <v>53</v>
      </c>
      <c r="D175" s="10" t="s">
        <v>7</v>
      </c>
      <c r="E175" s="10">
        <v>1</v>
      </c>
      <c r="F175" s="10" t="s">
        <v>3</v>
      </c>
      <c r="G175" s="10">
        <v>1</v>
      </c>
      <c r="H175" s="10" t="s">
        <v>8</v>
      </c>
      <c r="I175" s="10">
        <v>0</v>
      </c>
      <c r="K175" s="2">
        <v>0.5</v>
      </c>
      <c r="L175" s="13">
        <f t="shared" si="1"/>
        <v>0.55555555555555558</v>
      </c>
      <c r="M175" s="13">
        <f>N175/Sheet1!$B175</f>
        <v>0.44252873563218392</v>
      </c>
      <c r="N175" s="2">
        <f t="shared" si="0"/>
        <v>77</v>
      </c>
      <c r="O175" s="2">
        <f>IF(Sheet1!$H175="ted",1,0)</f>
        <v>1</v>
      </c>
    </row>
    <row r="176" spans="1:15" ht="15.75" customHeight="1" x14ac:dyDescent="0.2">
      <c r="A176" s="11">
        <v>43208</v>
      </c>
      <c r="B176" s="12">
        <v>175</v>
      </c>
      <c r="C176" s="10" t="s">
        <v>53</v>
      </c>
      <c r="D176" s="10" t="s">
        <v>7</v>
      </c>
      <c r="E176" s="10">
        <v>1</v>
      </c>
      <c r="F176" s="10" t="s">
        <v>3</v>
      </c>
      <c r="G176" s="10">
        <v>0</v>
      </c>
      <c r="H176" s="10" t="s">
        <v>7</v>
      </c>
      <c r="I176" s="10">
        <v>0</v>
      </c>
      <c r="K176" s="2">
        <v>0.5</v>
      </c>
      <c r="L176" s="13">
        <f t="shared" si="1"/>
        <v>0.55555555555555558</v>
      </c>
      <c r="M176" s="13">
        <f>N176/Sheet1!$B176</f>
        <v>0.44571428571428573</v>
      </c>
      <c r="N176" s="2">
        <f t="shared" si="0"/>
        <v>78</v>
      </c>
      <c r="O176" s="2">
        <f>IF(Sheet1!$H176="ted",1,0)</f>
        <v>0</v>
      </c>
    </row>
    <row r="177" spans="1:15" ht="15.75" customHeight="1" x14ac:dyDescent="0.2">
      <c r="A177" s="11">
        <v>43208</v>
      </c>
      <c r="B177" s="12">
        <v>176</v>
      </c>
      <c r="C177" s="10" t="s">
        <v>53</v>
      </c>
      <c r="D177" s="10" t="s">
        <v>7</v>
      </c>
      <c r="E177" s="10">
        <v>1</v>
      </c>
      <c r="F177" s="10" t="s">
        <v>3</v>
      </c>
      <c r="G177" s="10">
        <v>2</v>
      </c>
      <c r="H177" s="10" t="s">
        <v>8</v>
      </c>
      <c r="I177" s="10">
        <v>0</v>
      </c>
      <c r="K177" s="2">
        <v>0.5</v>
      </c>
      <c r="L177" s="13">
        <f t="shared" si="1"/>
        <v>0.66666666666666663</v>
      </c>
      <c r="M177" s="13">
        <f>N177/Sheet1!$B177</f>
        <v>0.44886363636363635</v>
      </c>
      <c r="N177" s="2">
        <f t="shared" si="0"/>
        <v>79</v>
      </c>
      <c r="O177" s="2">
        <f>IF(Sheet1!$H177="ted",1,0)</f>
        <v>1</v>
      </c>
    </row>
    <row r="178" spans="1:15" ht="15.75" customHeight="1" x14ac:dyDescent="0.2">
      <c r="A178" s="11">
        <v>43222</v>
      </c>
      <c r="B178" s="12">
        <v>177</v>
      </c>
      <c r="C178" s="10" t="s">
        <v>53</v>
      </c>
      <c r="D178" s="10" t="s">
        <v>76</v>
      </c>
      <c r="E178" s="10">
        <v>1</v>
      </c>
      <c r="F178" s="10" t="s">
        <v>3</v>
      </c>
      <c r="G178" s="10">
        <v>2</v>
      </c>
      <c r="H178" s="10" t="s">
        <v>76</v>
      </c>
      <c r="I178" s="10">
        <v>0</v>
      </c>
      <c r="K178" s="2">
        <v>0.5</v>
      </c>
      <c r="L178" s="13">
        <f t="shared" si="1"/>
        <v>0.77777777777777779</v>
      </c>
      <c r="M178" s="13">
        <f>N178/Sheet1!$B178</f>
        <v>0.4519774011299435</v>
      </c>
      <c r="N178" s="2">
        <f t="shared" si="0"/>
        <v>80</v>
      </c>
      <c r="O178" s="2">
        <f>IF(Sheet1!$H178="ted",1,0)</f>
        <v>0</v>
      </c>
    </row>
    <row r="179" spans="1:15" ht="15.75" customHeight="1" x14ac:dyDescent="0.2">
      <c r="A179" s="11">
        <v>43222</v>
      </c>
      <c r="B179" s="12">
        <v>178</v>
      </c>
      <c r="C179" s="10" t="s">
        <v>53</v>
      </c>
      <c r="D179" s="10" t="s">
        <v>76</v>
      </c>
      <c r="E179" s="10">
        <v>0</v>
      </c>
      <c r="F179" s="10" t="s">
        <v>5</v>
      </c>
      <c r="G179" s="10">
        <v>0</v>
      </c>
      <c r="H179" s="10" t="s">
        <v>8</v>
      </c>
      <c r="I179" s="10">
        <v>0</v>
      </c>
      <c r="K179" s="2">
        <v>0.5</v>
      </c>
      <c r="L179" s="13">
        <f t="shared" si="1"/>
        <v>0.66666666666666663</v>
      </c>
      <c r="M179" s="13">
        <f>N179/Sheet1!$B179</f>
        <v>0.449438202247191</v>
      </c>
      <c r="N179" s="2">
        <f t="shared" si="0"/>
        <v>80</v>
      </c>
      <c r="O179" s="2">
        <f>IF(Sheet1!$H179="ted",1,0)</f>
        <v>1</v>
      </c>
    </row>
    <row r="180" spans="1:15" ht="15.75" customHeight="1" x14ac:dyDescent="0.2">
      <c r="A180" s="11">
        <v>43222</v>
      </c>
      <c r="B180" s="12">
        <v>179</v>
      </c>
      <c r="C180" s="10" t="s">
        <v>53</v>
      </c>
      <c r="D180" s="10" t="s">
        <v>76</v>
      </c>
      <c r="E180" s="10">
        <v>0</v>
      </c>
      <c r="F180" s="10" t="s">
        <v>4</v>
      </c>
      <c r="G180" s="10">
        <v>0</v>
      </c>
      <c r="H180" s="10" t="s">
        <v>76</v>
      </c>
      <c r="I180" s="10">
        <v>4</v>
      </c>
      <c r="K180" s="2">
        <v>0.5</v>
      </c>
      <c r="L180" s="13">
        <f t="shared" si="1"/>
        <v>0.66666666666666663</v>
      </c>
      <c r="M180" s="13">
        <f>N180/Sheet1!$B180</f>
        <v>0.44692737430167595</v>
      </c>
      <c r="N180" s="2">
        <f t="shared" si="0"/>
        <v>80</v>
      </c>
      <c r="O180" s="2">
        <f>IF(Sheet1!$H180="ted",1,0)</f>
        <v>0</v>
      </c>
    </row>
    <row r="181" spans="1:15" ht="15.75" customHeight="1" x14ac:dyDescent="0.2">
      <c r="A181" s="11">
        <v>43222</v>
      </c>
      <c r="B181" s="12">
        <v>180</v>
      </c>
      <c r="C181" s="10" t="s">
        <v>53</v>
      </c>
      <c r="D181" s="10" t="s">
        <v>76</v>
      </c>
      <c r="E181" s="10">
        <v>1</v>
      </c>
      <c r="F181" s="10" t="s">
        <v>3</v>
      </c>
      <c r="G181" s="10">
        <v>1</v>
      </c>
      <c r="H181" s="10" t="s">
        <v>8</v>
      </c>
      <c r="I181" s="10">
        <v>0</v>
      </c>
      <c r="K181" s="2">
        <v>0.5</v>
      </c>
      <c r="L181" s="13">
        <f t="shared" si="1"/>
        <v>0.77777777777777779</v>
      </c>
      <c r="M181" s="13">
        <f>N181/Sheet1!$B181</f>
        <v>0.45</v>
      </c>
      <c r="N181" s="2">
        <f t="shared" si="0"/>
        <v>81</v>
      </c>
      <c r="O181" s="2">
        <f>IF(Sheet1!$H181="ted",1,0)</f>
        <v>1</v>
      </c>
    </row>
    <row r="182" spans="1:15" ht="15.75" customHeight="1" x14ac:dyDescent="0.2">
      <c r="A182" s="11">
        <v>43238</v>
      </c>
      <c r="B182" s="12">
        <v>181</v>
      </c>
      <c r="C182" s="10" t="s">
        <v>53</v>
      </c>
      <c r="D182" s="10" t="s">
        <v>7</v>
      </c>
      <c r="E182" s="10">
        <v>1</v>
      </c>
      <c r="F182" s="10" t="s">
        <v>3</v>
      </c>
      <c r="G182" s="10">
        <v>1</v>
      </c>
      <c r="H182" s="10" t="s">
        <v>7</v>
      </c>
      <c r="I182" s="10">
        <v>0</v>
      </c>
      <c r="K182" s="2">
        <v>0.5</v>
      </c>
      <c r="L182" s="13">
        <f t="shared" si="1"/>
        <v>0.77777777777777779</v>
      </c>
      <c r="M182" s="13">
        <f>N182/Sheet1!$B182</f>
        <v>0.45303867403314918</v>
      </c>
      <c r="N182" s="2">
        <f t="shared" si="0"/>
        <v>82</v>
      </c>
      <c r="O182" s="2">
        <f>IF(Sheet1!$H182="ted",1,0)</f>
        <v>0</v>
      </c>
    </row>
    <row r="183" spans="1:15" ht="15.75" customHeight="1" x14ac:dyDescent="0.2">
      <c r="A183" s="11">
        <v>43238</v>
      </c>
      <c r="B183" s="12">
        <v>182</v>
      </c>
      <c r="C183" s="10" t="s">
        <v>53</v>
      </c>
      <c r="D183" s="10" t="s">
        <v>7</v>
      </c>
      <c r="E183" s="10">
        <v>0</v>
      </c>
      <c r="F183" s="10" t="s">
        <v>3</v>
      </c>
      <c r="G183" s="10">
        <v>0</v>
      </c>
      <c r="H183" s="10" t="s">
        <v>8</v>
      </c>
      <c r="I183" s="10">
        <v>0</v>
      </c>
      <c r="K183" s="2">
        <v>0.5</v>
      </c>
      <c r="L183" s="13">
        <f t="shared" si="1"/>
        <v>0.66666666666666663</v>
      </c>
      <c r="M183" s="13">
        <f>N183/Sheet1!$B183</f>
        <v>0.45054945054945056</v>
      </c>
      <c r="N183" s="2">
        <f t="shared" si="0"/>
        <v>82</v>
      </c>
      <c r="O183" s="2">
        <f>IF(Sheet1!$H183="ted",1,0)</f>
        <v>1</v>
      </c>
    </row>
    <row r="184" spans="1:15" ht="15.75" customHeight="1" x14ac:dyDescent="0.2">
      <c r="A184" s="11">
        <v>43238</v>
      </c>
      <c r="B184" s="12">
        <v>183</v>
      </c>
      <c r="C184" s="10" t="s">
        <v>53</v>
      </c>
      <c r="D184" s="10" t="s">
        <v>7</v>
      </c>
      <c r="E184" s="10">
        <v>1</v>
      </c>
      <c r="F184" s="10" t="s">
        <v>3</v>
      </c>
      <c r="G184" s="10">
        <v>0</v>
      </c>
      <c r="H184" s="10" t="s">
        <v>8</v>
      </c>
      <c r="I184" s="10">
        <v>0</v>
      </c>
      <c r="K184" s="2">
        <v>0.5</v>
      </c>
      <c r="L184" s="13">
        <f t="shared" si="1"/>
        <v>0.66666666666666663</v>
      </c>
      <c r="M184" s="13">
        <f>N184/Sheet1!$B184</f>
        <v>0.45355191256830601</v>
      </c>
      <c r="N184" s="2">
        <f t="shared" si="0"/>
        <v>83</v>
      </c>
      <c r="O184" s="2">
        <f>IF(Sheet1!$H184="ted",1,0)</f>
        <v>1</v>
      </c>
    </row>
    <row r="185" spans="1:15" ht="15.75" customHeight="1" x14ac:dyDescent="0.2">
      <c r="A185" s="11">
        <v>43238</v>
      </c>
      <c r="B185" s="12">
        <v>184</v>
      </c>
      <c r="C185" s="10" t="s">
        <v>53</v>
      </c>
      <c r="D185" s="10" t="s">
        <v>7</v>
      </c>
      <c r="E185" s="10">
        <v>1</v>
      </c>
      <c r="F185" s="10" t="s">
        <v>3</v>
      </c>
      <c r="G185" s="10">
        <v>1</v>
      </c>
      <c r="H185" s="10" t="s">
        <v>7</v>
      </c>
      <c r="I185" s="10">
        <v>0</v>
      </c>
      <c r="K185" s="2">
        <v>0.5</v>
      </c>
      <c r="L185" s="13">
        <f t="shared" si="1"/>
        <v>0.66666666666666663</v>
      </c>
      <c r="M185" s="13">
        <f>N185/Sheet1!$B185</f>
        <v>0.45652173913043476</v>
      </c>
      <c r="N185" s="2">
        <f t="shared" si="0"/>
        <v>84</v>
      </c>
      <c r="O185" s="2">
        <f>IF(Sheet1!$H185="ted",1,0)</f>
        <v>0</v>
      </c>
    </row>
    <row r="186" spans="1:15" ht="15.75" customHeight="1" x14ac:dyDescent="0.2">
      <c r="A186" s="11">
        <v>43238</v>
      </c>
      <c r="B186" s="12">
        <v>185</v>
      </c>
      <c r="C186" s="10" t="s">
        <v>53</v>
      </c>
      <c r="D186" s="10" t="s">
        <v>7</v>
      </c>
      <c r="E186" s="10">
        <v>0</v>
      </c>
      <c r="F186" s="10" t="s">
        <v>3</v>
      </c>
      <c r="G186" s="10">
        <v>0</v>
      </c>
      <c r="H186" s="10" t="s">
        <v>8</v>
      </c>
      <c r="I186" s="10">
        <v>0</v>
      </c>
      <c r="K186" s="2">
        <v>0.5</v>
      </c>
      <c r="L186" s="13">
        <f t="shared" si="1"/>
        <v>0.55555555555555558</v>
      </c>
      <c r="M186" s="13">
        <f>N186/Sheet1!$B186</f>
        <v>0.45405405405405408</v>
      </c>
      <c r="N186" s="2">
        <f t="shared" si="0"/>
        <v>84</v>
      </c>
      <c r="O186" s="2">
        <f>IF(Sheet1!$H186="ted",1,0)</f>
        <v>1</v>
      </c>
    </row>
    <row r="187" spans="1:15" ht="15.75" customHeight="1" x14ac:dyDescent="0.2">
      <c r="A187" s="11">
        <v>43238</v>
      </c>
      <c r="B187" s="12">
        <v>186</v>
      </c>
      <c r="C187" s="10" t="s">
        <v>53</v>
      </c>
      <c r="D187" s="10" t="s">
        <v>7</v>
      </c>
      <c r="E187" s="10">
        <v>1</v>
      </c>
      <c r="F187" s="10" t="s">
        <v>3</v>
      </c>
      <c r="G187" s="10">
        <v>0</v>
      </c>
      <c r="H187" s="10" t="s">
        <v>8</v>
      </c>
      <c r="I187" s="10">
        <v>0</v>
      </c>
      <c r="K187" s="2">
        <v>0.5</v>
      </c>
      <c r="L187" s="13">
        <f t="shared" si="1"/>
        <v>0.55555555555555558</v>
      </c>
      <c r="M187" s="13">
        <f>N187/Sheet1!$B187</f>
        <v>0.45698924731182794</v>
      </c>
      <c r="N187" s="2">
        <f t="shared" si="0"/>
        <v>85</v>
      </c>
      <c r="O187" s="2">
        <f>IF(Sheet1!$H187="ted",1,0)</f>
        <v>1</v>
      </c>
    </row>
    <row r="188" spans="1:15" ht="15.75" customHeight="1" x14ac:dyDescent="0.2">
      <c r="A188" s="11">
        <v>43250</v>
      </c>
      <c r="B188" s="12">
        <v>187</v>
      </c>
      <c r="C188" s="10" t="s">
        <v>65</v>
      </c>
      <c r="D188" s="10" t="s">
        <v>7</v>
      </c>
      <c r="E188" s="10">
        <v>0</v>
      </c>
      <c r="F188" s="10" t="s">
        <v>3</v>
      </c>
      <c r="G188" s="10">
        <v>5</v>
      </c>
      <c r="H188" s="10" t="s">
        <v>8</v>
      </c>
      <c r="I188" s="10">
        <v>0</v>
      </c>
      <c r="K188" s="2">
        <v>0.5</v>
      </c>
      <c r="L188" s="13">
        <f t="shared" si="1"/>
        <v>0.55555555555555558</v>
      </c>
      <c r="M188" s="13">
        <f>N188/Sheet1!$B188</f>
        <v>0.45454545454545453</v>
      </c>
      <c r="N188" s="2">
        <f t="shared" si="0"/>
        <v>85</v>
      </c>
      <c r="O188" s="2">
        <f>IF(Sheet1!$H188="ted",1,0)</f>
        <v>1</v>
      </c>
    </row>
    <row r="189" spans="1:15" ht="15.75" customHeight="1" x14ac:dyDescent="0.2">
      <c r="A189" s="11">
        <v>43250</v>
      </c>
      <c r="B189" s="12">
        <v>188</v>
      </c>
      <c r="C189" s="10" t="s">
        <v>65</v>
      </c>
      <c r="D189" s="10" t="s">
        <v>7</v>
      </c>
      <c r="E189" s="10">
        <v>0</v>
      </c>
      <c r="F189" s="10" t="s">
        <v>3</v>
      </c>
      <c r="G189" s="10">
        <v>2</v>
      </c>
      <c r="H189" s="10" t="s">
        <v>7</v>
      </c>
      <c r="I189" s="10">
        <v>0</v>
      </c>
      <c r="K189" s="2">
        <v>0.5</v>
      </c>
      <c r="L189" s="13">
        <f t="shared" si="1"/>
        <v>0.55555555555555558</v>
      </c>
      <c r="M189" s="13">
        <f>N189/Sheet1!$B189</f>
        <v>0.4521276595744681</v>
      </c>
      <c r="N189" s="2">
        <f t="shared" si="0"/>
        <v>85</v>
      </c>
      <c r="O189" s="2">
        <f>IF(Sheet1!$H189="ted",1,0)</f>
        <v>0</v>
      </c>
    </row>
    <row r="190" spans="1:15" ht="15.75" customHeight="1" x14ac:dyDescent="0.2">
      <c r="A190" s="11">
        <v>43252</v>
      </c>
      <c r="B190" s="12">
        <v>189</v>
      </c>
      <c r="C190" s="10" t="s">
        <v>53</v>
      </c>
      <c r="D190" s="10" t="s">
        <v>7</v>
      </c>
      <c r="E190" s="10">
        <v>1</v>
      </c>
      <c r="F190" s="10" t="s">
        <v>3</v>
      </c>
      <c r="G190" s="10">
        <v>0</v>
      </c>
      <c r="H190" s="10" t="s">
        <v>7</v>
      </c>
      <c r="I190" s="10">
        <v>0</v>
      </c>
      <c r="K190" s="2">
        <v>0.5</v>
      </c>
      <c r="L190" s="13">
        <f t="shared" si="1"/>
        <v>0.55555555555555558</v>
      </c>
      <c r="M190" s="13">
        <f>N190/Sheet1!$B190</f>
        <v>0.455026455026455</v>
      </c>
      <c r="N190" s="2">
        <f t="shared" si="0"/>
        <v>86</v>
      </c>
      <c r="O190" s="2">
        <f>IF(Sheet1!$H190="ted",1,0)</f>
        <v>0</v>
      </c>
    </row>
    <row r="191" spans="1:15" ht="15.75" customHeight="1" x14ac:dyDescent="0.2">
      <c r="A191" s="11">
        <v>43252</v>
      </c>
      <c r="B191" s="12">
        <v>190</v>
      </c>
      <c r="C191" s="10" t="s">
        <v>53</v>
      </c>
      <c r="D191" s="10" t="s">
        <v>59</v>
      </c>
      <c r="E191" s="10">
        <v>1</v>
      </c>
      <c r="F191" s="10" t="s">
        <v>3</v>
      </c>
      <c r="G191" s="10">
        <v>5</v>
      </c>
      <c r="H191" s="10" t="s">
        <v>8</v>
      </c>
      <c r="I191" s="10">
        <v>0</v>
      </c>
      <c r="K191" s="2">
        <v>0.5</v>
      </c>
      <c r="L191" s="13">
        <f t="shared" si="1"/>
        <v>0.55555555555555558</v>
      </c>
      <c r="M191" s="13">
        <f>N191/Sheet1!$B191</f>
        <v>0.45789473684210524</v>
      </c>
      <c r="N191" s="2">
        <f t="shared" si="0"/>
        <v>87</v>
      </c>
      <c r="O191" s="2">
        <f>IF(Sheet1!$H191="ted",1,0)</f>
        <v>1</v>
      </c>
    </row>
    <row r="192" spans="1:15" ht="15.75" customHeight="1" x14ac:dyDescent="0.2">
      <c r="A192" s="11">
        <v>43255</v>
      </c>
      <c r="B192" s="12">
        <v>191</v>
      </c>
      <c r="C192" s="10" t="s">
        <v>53</v>
      </c>
      <c r="D192" s="10" t="s">
        <v>59</v>
      </c>
      <c r="E192" s="10">
        <v>1</v>
      </c>
      <c r="F192" s="10" t="s">
        <v>3</v>
      </c>
      <c r="G192" s="10">
        <v>3</v>
      </c>
      <c r="H192" s="10" t="s">
        <v>8</v>
      </c>
      <c r="I192" s="10">
        <v>0</v>
      </c>
      <c r="K192" s="2">
        <v>0.5</v>
      </c>
      <c r="L192" s="13">
        <f t="shared" si="1"/>
        <v>0.66666666666666663</v>
      </c>
      <c r="M192" s="13">
        <f>N192/Sheet1!$B192</f>
        <v>0.4607329842931937</v>
      </c>
      <c r="N192" s="2">
        <f t="shared" si="0"/>
        <v>88</v>
      </c>
      <c r="O192" s="2">
        <f>IF(Sheet1!$H192="ted",1,0)</f>
        <v>1</v>
      </c>
    </row>
    <row r="193" spans="1:15" ht="15.75" customHeight="1" x14ac:dyDescent="0.2">
      <c r="A193" s="11">
        <v>43255</v>
      </c>
      <c r="B193" s="12">
        <v>192</v>
      </c>
      <c r="C193" s="10" t="s">
        <v>53</v>
      </c>
      <c r="D193" s="10" t="s">
        <v>59</v>
      </c>
      <c r="E193" s="10">
        <v>1</v>
      </c>
      <c r="F193" s="10" t="s">
        <v>3</v>
      </c>
      <c r="G193" s="10">
        <v>3</v>
      </c>
      <c r="H193" s="10" t="s">
        <v>59</v>
      </c>
      <c r="I193" s="10">
        <v>0</v>
      </c>
      <c r="K193" s="2">
        <v>0.5</v>
      </c>
      <c r="L193" s="13">
        <f t="shared" si="1"/>
        <v>0.66666666666666663</v>
      </c>
      <c r="M193" s="13">
        <f>N193/Sheet1!$B193</f>
        <v>0.46354166666666669</v>
      </c>
      <c r="N193" s="2">
        <f t="shared" si="0"/>
        <v>89</v>
      </c>
      <c r="O193" s="2">
        <f>IF(Sheet1!$H193="ted",1,0)</f>
        <v>0</v>
      </c>
    </row>
    <row r="194" spans="1:15" ht="15.75" customHeight="1" x14ac:dyDescent="0.2">
      <c r="A194" s="11">
        <v>43255</v>
      </c>
      <c r="B194" s="12">
        <v>193</v>
      </c>
      <c r="C194" s="10" t="s">
        <v>53</v>
      </c>
      <c r="D194" s="10" t="s">
        <v>59</v>
      </c>
      <c r="E194" s="10">
        <v>1</v>
      </c>
      <c r="F194" s="10" t="s">
        <v>3</v>
      </c>
      <c r="G194" s="10">
        <v>1</v>
      </c>
      <c r="H194" s="10" t="s">
        <v>8</v>
      </c>
      <c r="I194" s="10">
        <v>0</v>
      </c>
      <c r="K194" s="2">
        <v>0.5</v>
      </c>
      <c r="L194" s="13">
        <f t="shared" si="1"/>
        <v>0.66666666666666663</v>
      </c>
      <c r="M194" s="13">
        <f>N194/Sheet1!$B194</f>
        <v>0.46632124352331605</v>
      </c>
      <c r="N194" s="2">
        <f t="shared" si="0"/>
        <v>90</v>
      </c>
      <c r="O194" s="2">
        <f>IF(Sheet1!$H194="ted",1,0)</f>
        <v>1</v>
      </c>
    </row>
    <row r="195" spans="1:15" ht="15.75" customHeight="1" x14ac:dyDescent="0.2">
      <c r="A195" s="11">
        <v>43255</v>
      </c>
      <c r="B195" s="12">
        <v>194</v>
      </c>
      <c r="C195" s="10" t="s">
        <v>53</v>
      </c>
      <c r="D195" s="10" t="s">
        <v>59</v>
      </c>
      <c r="E195" s="10">
        <v>1</v>
      </c>
      <c r="F195" s="10" t="s">
        <v>3</v>
      </c>
      <c r="G195" s="10">
        <v>0</v>
      </c>
      <c r="H195" s="10" t="s">
        <v>59</v>
      </c>
      <c r="I195" s="10">
        <v>0</v>
      </c>
      <c r="K195" s="2">
        <v>0.5</v>
      </c>
      <c r="L195" s="13">
        <f t="shared" si="1"/>
        <v>0.77777777777777779</v>
      </c>
      <c r="M195" s="13">
        <f>N195/Sheet1!$B195</f>
        <v>0.46907216494845361</v>
      </c>
      <c r="N195" s="2">
        <f t="shared" si="0"/>
        <v>91</v>
      </c>
      <c r="O195" s="2">
        <f>IF(Sheet1!$H195="ted",1,0)</f>
        <v>0</v>
      </c>
    </row>
    <row r="196" spans="1:15" ht="15.75" customHeight="1" x14ac:dyDescent="0.2">
      <c r="A196" s="11">
        <v>43255</v>
      </c>
      <c r="B196" s="12">
        <v>195</v>
      </c>
      <c r="C196" s="10" t="s">
        <v>53</v>
      </c>
      <c r="D196" s="10" t="s">
        <v>59</v>
      </c>
      <c r="E196" s="10">
        <v>1</v>
      </c>
      <c r="F196" s="10" t="s">
        <v>3</v>
      </c>
      <c r="G196" s="10">
        <v>2</v>
      </c>
      <c r="H196" s="10" t="s">
        <v>8</v>
      </c>
      <c r="I196" s="10">
        <v>0</v>
      </c>
      <c r="K196" s="2">
        <v>0.5</v>
      </c>
      <c r="L196" s="13">
        <f t="shared" si="1"/>
        <v>0.77777777777777779</v>
      </c>
      <c r="M196" s="13">
        <f>N196/Sheet1!$B196</f>
        <v>0.47179487179487178</v>
      </c>
      <c r="N196" s="2">
        <f t="shared" si="0"/>
        <v>92</v>
      </c>
      <c r="O196" s="2">
        <f>IF(Sheet1!$H196="ted",1,0)</f>
        <v>1</v>
      </c>
    </row>
    <row r="197" spans="1:15" ht="15.75" customHeight="1" x14ac:dyDescent="0.2">
      <c r="A197" s="11">
        <v>43255</v>
      </c>
      <c r="B197" s="12">
        <v>196</v>
      </c>
      <c r="C197" s="10" t="s">
        <v>53</v>
      </c>
      <c r="D197" s="10" t="s">
        <v>59</v>
      </c>
      <c r="E197" s="10">
        <v>1</v>
      </c>
      <c r="F197" s="10" t="s">
        <v>3</v>
      </c>
      <c r="G197" s="10">
        <v>2</v>
      </c>
      <c r="H197" s="10" t="s">
        <v>59</v>
      </c>
      <c r="I197" s="10">
        <v>0</v>
      </c>
      <c r="K197" s="2">
        <v>0.5</v>
      </c>
      <c r="L197" s="13">
        <f t="shared" si="1"/>
        <v>0.88888888888888884</v>
      </c>
      <c r="M197" s="13">
        <f>N197/Sheet1!$B197</f>
        <v>0.47448979591836737</v>
      </c>
      <c r="N197" s="2">
        <f t="shared" si="0"/>
        <v>93</v>
      </c>
      <c r="O197" s="2">
        <f>IF(Sheet1!$H197="ted",1,0)</f>
        <v>0</v>
      </c>
    </row>
    <row r="198" spans="1:15" ht="15.75" customHeight="1" x14ac:dyDescent="0.2">
      <c r="A198" s="11">
        <v>43255</v>
      </c>
      <c r="B198" s="12">
        <v>197</v>
      </c>
      <c r="C198" s="10" t="s">
        <v>53</v>
      </c>
      <c r="D198" s="10" t="s">
        <v>59</v>
      </c>
      <c r="E198" s="10">
        <v>1</v>
      </c>
      <c r="F198" s="10" t="s">
        <v>3</v>
      </c>
      <c r="G198" s="10">
        <v>0</v>
      </c>
      <c r="H198" s="10" t="s">
        <v>8</v>
      </c>
      <c r="I198" s="10">
        <v>0</v>
      </c>
      <c r="K198" s="2">
        <v>0.5</v>
      </c>
      <c r="L198" s="13">
        <f t="shared" si="1"/>
        <v>1</v>
      </c>
      <c r="M198" s="13">
        <f>N198/Sheet1!$B198</f>
        <v>0.47715736040609136</v>
      </c>
      <c r="N198" s="2">
        <f t="shared" si="0"/>
        <v>94</v>
      </c>
      <c r="O198" s="2">
        <f>IF(Sheet1!$H198="ted",1,0)</f>
        <v>1</v>
      </c>
    </row>
    <row r="199" spans="1:15" ht="15.75" customHeight="1" x14ac:dyDescent="0.2">
      <c r="A199" s="11">
        <v>43264</v>
      </c>
      <c r="B199" s="12">
        <v>198</v>
      </c>
      <c r="C199" s="10" t="s">
        <v>53</v>
      </c>
      <c r="D199" s="10" t="s">
        <v>77</v>
      </c>
      <c r="E199" s="10">
        <v>1</v>
      </c>
      <c r="F199" s="10" t="s">
        <v>3</v>
      </c>
      <c r="G199" s="10">
        <v>2</v>
      </c>
      <c r="H199" s="10" t="s">
        <v>77</v>
      </c>
      <c r="I199" s="10">
        <v>0</v>
      </c>
      <c r="K199" s="2">
        <v>0.5</v>
      </c>
      <c r="L199" s="13">
        <f t="shared" si="1"/>
        <v>1</v>
      </c>
      <c r="M199" s="13">
        <f>N199/Sheet1!$B199</f>
        <v>0.47979797979797978</v>
      </c>
      <c r="N199" s="2">
        <f t="shared" si="0"/>
        <v>95</v>
      </c>
      <c r="O199" s="2">
        <f>IF(Sheet1!$H199="ted",1,0)</f>
        <v>0</v>
      </c>
    </row>
    <row r="200" spans="1:15" ht="15.75" customHeight="1" x14ac:dyDescent="0.2">
      <c r="A200" s="11">
        <v>43264</v>
      </c>
      <c r="B200" s="12">
        <v>199</v>
      </c>
      <c r="C200" s="10" t="s">
        <v>53</v>
      </c>
      <c r="D200" s="10" t="s">
        <v>59</v>
      </c>
      <c r="E200" s="10">
        <v>1</v>
      </c>
      <c r="F200" s="10" t="s">
        <v>3</v>
      </c>
      <c r="G200" s="10">
        <v>2</v>
      </c>
      <c r="H200" s="10" t="s">
        <v>8</v>
      </c>
      <c r="I200" s="10">
        <v>0</v>
      </c>
      <c r="K200" s="2">
        <v>0.5</v>
      </c>
      <c r="L200" s="13">
        <f t="shared" si="1"/>
        <v>1</v>
      </c>
      <c r="M200" s="13">
        <f>N200/Sheet1!$B200</f>
        <v>0.48241206030150752</v>
      </c>
      <c r="N200" s="2">
        <f t="shared" si="0"/>
        <v>96</v>
      </c>
      <c r="O200" s="2">
        <f>IF(Sheet1!$H200="ted",1,0)</f>
        <v>1</v>
      </c>
    </row>
    <row r="201" spans="1:15" ht="15.75" customHeight="1" x14ac:dyDescent="0.2">
      <c r="A201" s="11">
        <v>43271</v>
      </c>
      <c r="B201" s="12">
        <v>200</v>
      </c>
      <c r="C201" s="10" t="s">
        <v>53</v>
      </c>
      <c r="D201" s="10" t="s">
        <v>59</v>
      </c>
      <c r="E201" s="10">
        <v>1</v>
      </c>
      <c r="F201" s="10" t="s">
        <v>3</v>
      </c>
      <c r="G201" s="10">
        <v>1</v>
      </c>
      <c r="H201" s="10" t="s">
        <v>8</v>
      </c>
      <c r="I201" s="10">
        <v>0</v>
      </c>
      <c r="K201" s="2">
        <v>0.5</v>
      </c>
      <c r="L201" s="13">
        <f t="shared" si="1"/>
        <v>1</v>
      </c>
      <c r="M201" s="13">
        <f>N201/Sheet1!$B201</f>
        <v>0.48499999999999999</v>
      </c>
      <c r="N201" s="2">
        <f t="shared" si="0"/>
        <v>97</v>
      </c>
      <c r="O201" s="2">
        <f>IF(Sheet1!$H201="ted",1,0)</f>
        <v>1</v>
      </c>
    </row>
    <row r="202" spans="1:15" ht="15.75" customHeight="1" x14ac:dyDescent="0.2">
      <c r="A202" s="11">
        <v>43271</v>
      </c>
      <c r="B202" s="12">
        <v>201</v>
      </c>
      <c r="C202" s="10" t="s">
        <v>53</v>
      </c>
      <c r="D202" s="10" t="s">
        <v>59</v>
      </c>
      <c r="E202" s="10">
        <v>1</v>
      </c>
      <c r="F202" s="10" t="s">
        <v>3</v>
      </c>
      <c r="G202" s="10">
        <v>3</v>
      </c>
      <c r="H202" s="10" t="s">
        <v>59</v>
      </c>
      <c r="I202" s="10">
        <v>0</v>
      </c>
      <c r="K202" s="2">
        <v>0.5</v>
      </c>
      <c r="L202" s="13">
        <f t="shared" si="1"/>
        <v>1</v>
      </c>
      <c r="M202" s="13">
        <f>N202/Sheet1!$B202</f>
        <v>0.48756218905472637</v>
      </c>
      <c r="N202" s="2">
        <f t="shared" si="0"/>
        <v>98</v>
      </c>
      <c r="O202" s="2">
        <f>IF(Sheet1!$H202="ted",1,0)</f>
        <v>0</v>
      </c>
    </row>
    <row r="203" spans="1:15" ht="15.75" customHeight="1" x14ac:dyDescent="0.2">
      <c r="A203" s="11">
        <v>43271</v>
      </c>
      <c r="B203" s="12">
        <v>202</v>
      </c>
      <c r="C203" s="10" t="s">
        <v>53</v>
      </c>
      <c r="D203" s="10" t="s">
        <v>59</v>
      </c>
      <c r="E203" s="10">
        <v>0</v>
      </c>
      <c r="F203" s="10" t="s">
        <v>3</v>
      </c>
      <c r="G203" s="10">
        <v>0</v>
      </c>
      <c r="H203" s="10" t="s">
        <v>8</v>
      </c>
      <c r="I203" s="10">
        <v>0</v>
      </c>
      <c r="K203" s="2">
        <v>0.5</v>
      </c>
      <c r="L203" s="13">
        <f t="shared" si="1"/>
        <v>0.88888888888888884</v>
      </c>
      <c r="M203" s="13">
        <f>N203/Sheet1!$B203</f>
        <v>0.48514851485148514</v>
      </c>
      <c r="N203" s="2">
        <f t="shared" si="0"/>
        <v>98</v>
      </c>
      <c r="O203" s="2">
        <f>IF(Sheet1!$H203="ted",1,0)</f>
        <v>1</v>
      </c>
    </row>
    <row r="204" spans="1:15" ht="15.75" customHeight="1" x14ac:dyDescent="0.2">
      <c r="A204" s="11">
        <v>43271</v>
      </c>
      <c r="B204" s="12">
        <v>203</v>
      </c>
      <c r="C204" s="10" t="s">
        <v>53</v>
      </c>
      <c r="D204" s="10" t="s">
        <v>59</v>
      </c>
      <c r="E204" s="10">
        <v>1</v>
      </c>
      <c r="F204" s="10" t="s">
        <v>2</v>
      </c>
      <c r="G204" s="10">
        <v>1</v>
      </c>
      <c r="H204" s="10" t="s">
        <v>59</v>
      </c>
      <c r="I204" s="10">
        <v>2</v>
      </c>
      <c r="K204" s="2">
        <v>0.5</v>
      </c>
      <c r="L204" s="13">
        <f t="shared" si="1"/>
        <v>0.88888888888888884</v>
      </c>
      <c r="M204" s="13">
        <f>N204/Sheet1!$B204</f>
        <v>0.48768472906403942</v>
      </c>
      <c r="N204" s="2">
        <f t="shared" si="0"/>
        <v>99</v>
      </c>
      <c r="O204" s="2">
        <f>IF(Sheet1!$H204="ted",1,0)</f>
        <v>0</v>
      </c>
    </row>
    <row r="205" spans="1:15" ht="15.75" customHeight="1" x14ac:dyDescent="0.2">
      <c r="A205" s="11">
        <v>43271</v>
      </c>
      <c r="B205" s="12">
        <v>204</v>
      </c>
      <c r="C205" s="10" t="s">
        <v>53</v>
      </c>
      <c r="D205" s="10" t="s">
        <v>59</v>
      </c>
      <c r="E205" s="10">
        <v>1</v>
      </c>
      <c r="F205" s="10" t="s">
        <v>3</v>
      </c>
      <c r="G205" s="10">
        <v>3</v>
      </c>
      <c r="H205" s="10" t="s">
        <v>8</v>
      </c>
      <c r="I205" s="10">
        <v>0</v>
      </c>
      <c r="K205" s="2">
        <v>0.5</v>
      </c>
      <c r="L205" s="13">
        <f t="shared" si="1"/>
        <v>0.88888888888888884</v>
      </c>
      <c r="M205" s="13">
        <f>N205/Sheet1!$B205</f>
        <v>0.49019607843137253</v>
      </c>
      <c r="N205" s="2">
        <f t="shared" si="0"/>
        <v>100</v>
      </c>
      <c r="O205" s="2">
        <f>IF(Sheet1!$H205="ted",1,0)</f>
        <v>1</v>
      </c>
    </row>
    <row r="206" spans="1:15" ht="15.75" customHeight="1" x14ac:dyDescent="0.2">
      <c r="A206" s="11">
        <v>43271</v>
      </c>
      <c r="B206" s="12">
        <v>205</v>
      </c>
      <c r="C206" s="10" t="s">
        <v>53</v>
      </c>
      <c r="D206" s="10" t="s">
        <v>59</v>
      </c>
      <c r="E206" s="10">
        <v>1</v>
      </c>
      <c r="F206" s="10" t="s">
        <v>3</v>
      </c>
      <c r="G206" s="10">
        <v>1</v>
      </c>
      <c r="H206" s="10" t="s">
        <v>59</v>
      </c>
      <c r="I206" s="10">
        <v>0</v>
      </c>
      <c r="K206" s="2">
        <v>0.5</v>
      </c>
      <c r="L206" s="13">
        <f t="shared" si="1"/>
        <v>0.88888888888888884</v>
      </c>
      <c r="M206" s="13">
        <f>N206/Sheet1!$B206</f>
        <v>0.49268292682926829</v>
      </c>
      <c r="N206" s="2">
        <f t="shared" si="0"/>
        <v>101</v>
      </c>
      <c r="O206" s="2">
        <f>IF(Sheet1!$H206="ted",1,0)</f>
        <v>0</v>
      </c>
    </row>
    <row r="207" spans="1:15" ht="15.75" customHeight="1" x14ac:dyDescent="0.2">
      <c r="A207" s="11">
        <v>43271</v>
      </c>
      <c r="B207" s="12">
        <v>206</v>
      </c>
      <c r="C207" s="10" t="s">
        <v>53</v>
      </c>
      <c r="D207" s="10" t="s">
        <v>59</v>
      </c>
      <c r="E207" s="10">
        <v>1</v>
      </c>
      <c r="F207" s="10" t="s">
        <v>3</v>
      </c>
      <c r="G207" s="10">
        <v>4</v>
      </c>
      <c r="H207" s="10" t="s">
        <v>8</v>
      </c>
      <c r="I207" s="10">
        <v>0</v>
      </c>
      <c r="K207" s="2">
        <v>0.5</v>
      </c>
      <c r="L207" s="13">
        <f t="shared" si="1"/>
        <v>0.88888888888888884</v>
      </c>
      <c r="M207" s="13">
        <f>N207/Sheet1!$B207</f>
        <v>0.49514563106796117</v>
      </c>
      <c r="N207" s="2">
        <f t="shared" si="0"/>
        <v>102</v>
      </c>
      <c r="O207" s="2">
        <f>IF(Sheet1!$H207="ted",1,0)</f>
        <v>1</v>
      </c>
    </row>
    <row r="208" spans="1:15" ht="15.75" customHeight="1" x14ac:dyDescent="0.2">
      <c r="A208" s="11">
        <v>43289</v>
      </c>
      <c r="B208" s="12">
        <v>207</v>
      </c>
      <c r="C208" s="10" t="s">
        <v>65</v>
      </c>
      <c r="D208" s="10" t="s">
        <v>7</v>
      </c>
      <c r="E208" s="10">
        <v>0</v>
      </c>
      <c r="F208" s="10" t="s">
        <v>3</v>
      </c>
      <c r="G208" s="10">
        <v>1</v>
      </c>
      <c r="H208" s="10" t="s">
        <v>8</v>
      </c>
      <c r="I208" s="10">
        <v>0</v>
      </c>
      <c r="K208" s="2">
        <v>0.5</v>
      </c>
      <c r="L208" s="13">
        <f t="shared" si="1"/>
        <v>0.77777777777777779</v>
      </c>
      <c r="M208" s="13">
        <f>N208/Sheet1!$B208</f>
        <v>0.49275362318840582</v>
      </c>
      <c r="N208" s="2">
        <f t="shared" si="0"/>
        <v>102</v>
      </c>
      <c r="O208" s="2">
        <f>IF(Sheet1!$H208="ted",1,0)</f>
        <v>1</v>
      </c>
    </row>
    <row r="209" spans="1:15" ht="15.75" customHeight="1" x14ac:dyDescent="0.2">
      <c r="A209" s="11">
        <v>43289</v>
      </c>
      <c r="B209" s="12">
        <v>208</v>
      </c>
      <c r="C209" s="10" t="s">
        <v>65</v>
      </c>
      <c r="D209" s="10" t="s">
        <v>7</v>
      </c>
      <c r="E209" s="10">
        <v>0</v>
      </c>
      <c r="F209" s="10" t="s">
        <v>3</v>
      </c>
      <c r="G209" s="10">
        <v>1</v>
      </c>
      <c r="H209" s="10" t="s">
        <v>7</v>
      </c>
      <c r="I209" s="10">
        <v>0</v>
      </c>
      <c r="K209" s="2">
        <v>0.5</v>
      </c>
      <c r="L209" s="13">
        <f t="shared" si="1"/>
        <v>0.66666666666666663</v>
      </c>
      <c r="M209" s="13">
        <f>N209/Sheet1!$B209</f>
        <v>0.49038461538461536</v>
      </c>
      <c r="N209" s="2">
        <f t="shared" si="0"/>
        <v>102</v>
      </c>
      <c r="O209" s="2">
        <f>IF(Sheet1!$H209="ted",1,0)</f>
        <v>0</v>
      </c>
    </row>
    <row r="210" spans="1:15" ht="15.75" customHeight="1" x14ac:dyDescent="0.2">
      <c r="A210" s="11">
        <v>43292</v>
      </c>
      <c r="B210" s="12">
        <v>209</v>
      </c>
      <c r="C210" s="10" t="s">
        <v>53</v>
      </c>
      <c r="D210" s="10" t="s">
        <v>59</v>
      </c>
      <c r="E210" s="10">
        <v>1</v>
      </c>
      <c r="F210" s="10" t="s">
        <v>3</v>
      </c>
      <c r="G210" s="10">
        <v>2</v>
      </c>
      <c r="H210" s="10" t="s">
        <v>59</v>
      </c>
      <c r="I210" s="10">
        <v>0</v>
      </c>
      <c r="K210" s="2">
        <v>0.5</v>
      </c>
      <c r="L210" s="13">
        <f t="shared" si="1"/>
        <v>0.66666666666666663</v>
      </c>
      <c r="M210" s="13">
        <f>N210/Sheet1!$B210</f>
        <v>0.49282296650717705</v>
      </c>
      <c r="N210" s="2">
        <f t="shared" si="0"/>
        <v>103</v>
      </c>
      <c r="O210" s="2">
        <f>IF(Sheet1!$H210="ted",1,0)</f>
        <v>0</v>
      </c>
    </row>
    <row r="211" spans="1:15" ht="15.75" customHeight="1" x14ac:dyDescent="0.2">
      <c r="A211" s="11">
        <v>43292</v>
      </c>
      <c r="B211" s="12">
        <v>210</v>
      </c>
      <c r="C211" s="10" t="s">
        <v>53</v>
      </c>
      <c r="D211" s="10" t="s">
        <v>59</v>
      </c>
      <c r="E211" s="10">
        <v>1</v>
      </c>
      <c r="F211" s="10" t="s">
        <v>3</v>
      </c>
      <c r="G211" s="10">
        <v>2</v>
      </c>
      <c r="H211" s="10" t="s">
        <v>8</v>
      </c>
      <c r="I211" s="10">
        <v>0</v>
      </c>
      <c r="K211" s="2">
        <v>0.5</v>
      </c>
      <c r="L211" s="13">
        <f t="shared" si="1"/>
        <v>0.66666666666666663</v>
      </c>
      <c r="M211" s="13">
        <f>N211/Sheet1!$B211</f>
        <v>0.49523809523809526</v>
      </c>
      <c r="N211" s="2">
        <f t="shared" si="0"/>
        <v>104</v>
      </c>
      <c r="O211" s="2">
        <f>IF(Sheet1!$H211="ted",1,0)</f>
        <v>1</v>
      </c>
    </row>
    <row r="212" spans="1:15" ht="15.75" customHeight="1" x14ac:dyDescent="0.2">
      <c r="A212" s="11">
        <v>43292</v>
      </c>
      <c r="B212" s="12">
        <v>211</v>
      </c>
      <c r="C212" s="10" t="s">
        <v>53</v>
      </c>
      <c r="D212" s="10" t="s">
        <v>59</v>
      </c>
      <c r="E212" s="10">
        <v>1</v>
      </c>
      <c r="F212" s="10" t="s">
        <v>3</v>
      </c>
      <c r="G212" s="10">
        <v>1</v>
      </c>
      <c r="H212" s="10" t="s">
        <v>59</v>
      </c>
      <c r="I212" s="10">
        <v>0</v>
      </c>
      <c r="K212" s="2">
        <v>0.5</v>
      </c>
      <c r="L212" s="13">
        <f t="shared" si="1"/>
        <v>0.77777777777777779</v>
      </c>
      <c r="M212" s="13">
        <f>N212/Sheet1!$B212</f>
        <v>0.49763033175355448</v>
      </c>
      <c r="N212" s="2">
        <f t="shared" si="0"/>
        <v>105</v>
      </c>
      <c r="O212" s="2">
        <f>IF(Sheet1!$H212="ted",1,0)</f>
        <v>0</v>
      </c>
    </row>
    <row r="213" spans="1:15" ht="15.75" customHeight="1" x14ac:dyDescent="0.2">
      <c r="A213" s="11">
        <v>43292</v>
      </c>
      <c r="B213" s="12">
        <v>212</v>
      </c>
      <c r="C213" s="10" t="s">
        <v>53</v>
      </c>
      <c r="D213" s="10" t="s">
        <v>59</v>
      </c>
      <c r="E213" s="10">
        <v>1</v>
      </c>
      <c r="F213" s="10" t="s">
        <v>3</v>
      </c>
      <c r="G213" s="10">
        <v>0</v>
      </c>
      <c r="H213" s="10" t="s">
        <v>8</v>
      </c>
      <c r="I213" s="10">
        <v>0</v>
      </c>
      <c r="K213" s="2">
        <v>0.5</v>
      </c>
      <c r="L213" s="13">
        <f t="shared" si="1"/>
        <v>0.77777777777777779</v>
      </c>
      <c r="M213" s="13">
        <f>N213/Sheet1!$B213</f>
        <v>0.5</v>
      </c>
      <c r="N213" s="2">
        <f t="shared" si="0"/>
        <v>106</v>
      </c>
      <c r="O213" s="2">
        <f>IF(Sheet1!$H213="ted",1,0)</f>
        <v>1</v>
      </c>
    </row>
    <row r="214" spans="1:15" ht="15.75" customHeight="1" x14ac:dyDescent="0.2">
      <c r="A214" s="11">
        <v>43292</v>
      </c>
      <c r="B214" s="12">
        <v>213</v>
      </c>
      <c r="C214" s="10" t="s">
        <v>53</v>
      </c>
      <c r="D214" s="10" t="s">
        <v>59</v>
      </c>
      <c r="E214" s="10">
        <v>0</v>
      </c>
      <c r="F214" s="10" t="s">
        <v>3</v>
      </c>
      <c r="G214" s="10">
        <v>0</v>
      </c>
      <c r="H214" s="10" t="s">
        <v>59</v>
      </c>
      <c r="I214" s="10">
        <v>0</v>
      </c>
      <c r="K214" s="2">
        <v>0.5</v>
      </c>
      <c r="L214" s="13">
        <f t="shared" si="1"/>
        <v>0.66666666666666663</v>
      </c>
      <c r="M214" s="13">
        <f>N214/Sheet1!$B214</f>
        <v>0.49765258215962443</v>
      </c>
      <c r="N214" s="2">
        <f t="shared" si="0"/>
        <v>106</v>
      </c>
      <c r="O214" s="2">
        <f>IF(Sheet1!$H214="ted",1,0)</f>
        <v>0</v>
      </c>
    </row>
    <row r="215" spans="1:15" ht="15.75" customHeight="1" x14ac:dyDescent="0.2">
      <c r="A215" s="11">
        <v>43292</v>
      </c>
      <c r="B215" s="12">
        <v>214</v>
      </c>
      <c r="C215" s="10" t="s">
        <v>53</v>
      </c>
      <c r="D215" s="10" t="s">
        <v>59</v>
      </c>
      <c r="E215" s="10">
        <v>1</v>
      </c>
      <c r="F215" s="10" t="s">
        <v>3</v>
      </c>
      <c r="G215" s="10">
        <v>1</v>
      </c>
      <c r="H215" s="10" t="s">
        <v>8</v>
      </c>
      <c r="I215" s="10">
        <v>0</v>
      </c>
      <c r="K215" s="2">
        <v>0.5</v>
      </c>
      <c r="L215" s="13">
        <f t="shared" si="1"/>
        <v>0.66666666666666663</v>
      </c>
      <c r="M215" s="13">
        <f>N215/Sheet1!$B215</f>
        <v>0.5</v>
      </c>
      <c r="N215" s="2">
        <f t="shared" si="0"/>
        <v>107</v>
      </c>
      <c r="O215" s="2">
        <f>IF(Sheet1!$H215="ted",1,0)</f>
        <v>1</v>
      </c>
    </row>
    <row r="216" spans="1:15" ht="15.75" customHeight="1" x14ac:dyDescent="0.2">
      <c r="A216" s="11">
        <v>43292</v>
      </c>
      <c r="B216" s="12">
        <v>215</v>
      </c>
      <c r="C216" s="10" t="s">
        <v>53</v>
      </c>
      <c r="D216" s="10" t="s">
        <v>59</v>
      </c>
      <c r="E216" s="10">
        <v>0</v>
      </c>
      <c r="F216" s="10" t="s">
        <v>3</v>
      </c>
      <c r="G216" s="10">
        <v>2</v>
      </c>
      <c r="H216" s="10" t="s">
        <v>59</v>
      </c>
      <c r="I216" s="10">
        <v>0</v>
      </c>
      <c r="K216" s="2">
        <v>0.5</v>
      </c>
      <c r="L216" s="13">
        <f t="shared" si="1"/>
        <v>0.55555555555555558</v>
      </c>
      <c r="M216" s="13">
        <f>N216/Sheet1!$B216</f>
        <v>0.49767441860465117</v>
      </c>
      <c r="N216" s="2">
        <f t="shared" si="0"/>
        <v>107</v>
      </c>
      <c r="O216" s="2">
        <f>IF(Sheet1!$H216="ted",1,0)</f>
        <v>0</v>
      </c>
    </row>
    <row r="217" spans="1:15" ht="15.75" customHeight="1" x14ac:dyDescent="0.2">
      <c r="A217" s="11">
        <v>43303</v>
      </c>
      <c r="B217" s="12">
        <v>216</v>
      </c>
      <c r="C217" s="10" t="s">
        <v>53</v>
      </c>
      <c r="D217" s="10" t="s">
        <v>7</v>
      </c>
      <c r="E217" s="10">
        <v>0</v>
      </c>
      <c r="F217" s="10" t="s">
        <v>3</v>
      </c>
      <c r="G217" s="10">
        <v>1</v>
      </c>
      <c r="H217" s="10" t="s">
        <v>8</v>
      </c>
      <c r="I217" s="10">
        <v>0</v>
      </c>
      <c r="K217" s="2">
        <v>0.5</v>
      </c>
      <c r="L217" s="13">
        <f t="shared" si="1"/>
        <v>0.55555555555555558</v>
      </c>
      <c r="M217" s="13">
        <f>N217/Sheet1!$B217</f>
        <v>0.49537037037037035</v>
      </c>
      <c r="N217" s="2">
        <f t="shared" si="0"/>
        <v>107</v>
      </c>
      <c r="O217" s="2">
        <f>IF(Sheet1!$H217="ted",1,0)</f>
        <v>1</v>
      </c>
    </row>
    <row r="218" spans="1:15" ht="15.75" customHeight="1" x14ac:dyDescent="0.2">
      <c r="A218" s="11">
        <v>43303</v>
      </c>
      <c r="B218" s="12">
        <v>217</v>
      </c>
      <c r="C218" s="10" t="s">
        <v>53</v>
      </c>
      <c r="D218" s="10" t="s">
        <v>7</v>
      </c>
      <c r="E218" s="10">
        <v>1</v>
      </c>
      <c r="F218" s="10" t="s">
        <v>3</v>
      </c>
      <c r="G218" s="10">
        <v>2</v>
      </c>
      <c r="H218" s="10" t="s">
        <v>7</v>
      </c>
      <c r="I218" s="10">
        <v>0</v>
      </c>
      <c r="K218" s="2">
        <v>0.5</v>
      </c>
      <c r="L218" s="13">
        <f t="shared" si="1"/>
        <v>0.66666666666666663</v>
      </c>
      <c r="M218" s="13">
        <f>N218/Sheet1!$B218</f>
        <v>0.49769585253456222</v>
      </c>
      <c r="N218" s="2">
        <f t="shared" si="0"/>
        <v>108</v>
      </c>
      <c r="O218" s="2">
        <f>IF(Sheet1!$H218="ted",1,0)</f>
        <v>0</v>
      </c>
    </row>
    <row r="219" spans="1:15" ht="15.75" customHeight="1" x14ac:dyDescent="0.2">
      <c r="A219" s="11">
        <v>43303</v>
      </c>
      <c r="B219" s="12">
        <v>218</v>
      </c>
      <c r="C219" s="10" t="s">
        <v>53</v>
      </c>
      <c r="D219" s="10" t="s">
        <v>7</v>
      </c>
      <c r="E219" s="10">
        <v>0</v>
      </c>
      <c r="F219" s="10" t="s">
        <v>2</v>
      </c>
      <c r="G219" s="10">
        <v>6</v>
      </c>
      <c r="H219" s="10" t="s">
        <v>7</v>
      </c>
      <c r="I219" s="10">
        <v>3</v>
      </c>
      <c r="K219" s="2">
        <v>0.5</v>
      </c>
      <c r="L219" s="13">
        <f t="shared" si="1"/>
        <v>0.55555555555555558</v>
      </c>
      <c r="M219" s="13">
        <f>N219/Sheet1!$B219</f>
        <v>0.49541284403669728</v>
      </c>
      <c r="N219" s="2">
        <f t="shared" si="0"/>
        <v>108</v>
      </c>
      <c r="O219" s="2">
        <f>IF(Sheet1!$H219="ted",1,0)</f>
        <v>0</v>
      </c>
    </row>
    <row r="220" spans="1:15" ht="15.75" customHeight="1" x14ac:dyDescent="0.2">
      <c r="A220" s="11">
        <v>43307</v>
      </c>
      <c r="B220" s="12">
        <v>219</v>
      </c>
      <c r="C220" s="10" t="s">
        <v>53</v>
      </c>
      <c r="D220" s="10" t="s">
        <v>7</v>
      </c>
      <c r="E220" s="10">
        <v>1</v>
      </c>
      <c r="F220" s="10" t="s">
        <v>3</v>
      </c>
      <c r="G220" s="10">
        <v>2</v>
      </c>
      <c r="H220" s="10" t="s">
        <v>8</v>
      </c>
      <c r="I220" s="10">
        <v>0</v>
      </c>
      <c r="K220" s="2">
        <v>0.5</v>
      </c>
      <c r="L220" s="13">
        <f t="shared" si="1"/>
        <v>0.55555555555555558</v>
      </c>
      <c r="M220" s="13">
        <f>N220/Sheet1!$B220</f>
        <v>0.49771689497716892</v>
      </c>
      <c r="N220" s="2">
        <f t="shared" si="0"/>
        <v>109</v>
      </c>
      <c r="O220" s="2">
        <f>IF(Sheet1!$H220="ted",1,0)</f>
        <v>1</v>
      </c>
    </row>
    <row r="221" spans="1:15" ht="15.75" customHeight="1" x14ac:dyDescent="0.2">
      <c r="A221" s="11">
        <v>43307</v>
      </c>
      <c r="B221" s="12">
        <v>220</v>
      </c>
      <c r="C221" s="10" t="s">
        <v>53</v>
      </c>
      <c r="D221" s="10" t="s">
        <v>7</v>
      </c>
      <c r="E221" s="10">
        <v>0</v>
      </c>
      <c r="F221" s="10" t="s">
        <v>3</v>
      </c>
      <c r="G221" s="10">
        <v>1</v>
      </c>
      <c r="H221" s="10" t="s">
        <v>7</v>
      </c>
      <c r="I221" s="10">
        <v>0</v>
      </c>
      <c r="K221" s="2">
        <v>0.5</v>
      </c>
      <c r="L221" s="13">
        <f t="shared" si="1"/>
        <v>0.44444444444444442</v>
      </c>
      <c r="M221" s="13">
        <f>N221/Sheet1!$B221</f>
        <v>0.49545454545454548</v>
      </c>
      <c r="N221" s="2">
        <f t="shared" si="0"/>
        <v>109</v>
      </c>
      <c r="O221" s="2">
        <f>IF(Sheet1!$H221="ted",1,0)</f>
        <v>0</v>
      </c>
    </row>
    <row r="222" spans="1:15" ht="15.75" customHeight="1" x14ac:dyDescent="0.2">
      <c r="A222" s="11">
        <v>43310</v>
      </c>
      <c r="B222" s="12">
        <v>221</v>
      </c>
      <c r="C222" s="10" t="s">
        <v>53</v>
      </c>
      <c r="D222" s="10" t="s">
        <v>7</v>
      </c>
      <c r="E222" s="10">
        <v>0</v>
      </c>
      <c r="F222" s="10" t="s">
        <v>3</v>
      </c>
      <c r="G222" s="10">
        <v>2</v>
      </c>
      <c r="H222" s="10" t="s">
        <v>8</v>
      </c>
      <c r="I222" s="10">
        <v>0</v>
      </c>
      <c r="K222" s="2">
        <v>0.5</v>
      </c>
      <c r="L222" s="13">
        <f t="shared" si="1"/>
        <v>0.33333333333333331</v>
      </c>
      <c r="M222" s="13">
        <f>N222/Sheet1!$B222</f>
        <v>0.49321266968325794</v>
      </c>
      <c r="N222" s="2">
        <f t="shared" si="0"/>
        <v>109</v>
      </c>
      <c r="O222" s="2">
        <f>IF(Sheet1!$H222="ted",1,0)</f>
        <v>1</v>
      </c>
    </row>
    <row r="223" spans="1:15" ht="15.75" customHeight="1" x14ac:dyDescent="0.2">
      <c r="A223" s="11">
        <v>43310</v>
      </c>
      <c r="B223" s="12">
        <v>222</v>
      </c>
      <c r="C223" s="10" t="s">
        <v>53</v>
      </c>
      <c r="D223" s="10" t="s">
        <v>7</v>
      </c>
      <c r="E223" s="10">
        <v>1</v>
      </c>
      <c r="F223" s="10" t="s">
        <v>3</v>
      </c>
      <c r="G223" s="10">
        <v>0</v>
      </c>
      <c r="H223" s="10" t="s">
        <v>7</v>
      </c>
      <c r="I223" s="10">
        <v>0</v>
      </c>
      <c r="K223" s="2">
        <v>0.5</v>
      </c>
      <c r="L223" s="13">
        <f t="shared" si="1"/>
        <v>0.44444444444444442</v>
      </c>
      <c r="M223" s="13">
        <f>N223/Sheet1!$B223</f>
        <v>0.49549549549549549</v>
      </c>
      <c r="N223" s="2">
        <f t="shared" si="0"/>
        <v>110</v>
      </c>
      <c r="O223" s="2">
        <f>IF(Sheet1!$H223="ted",1,0)</f>
        <v>0</v>
      </c>
    </row>
    <row r="224" spans="1:15" ht="15.75" customHeight="1" x14ac:dyDescent="0.2">
      <c r="A224" s="11">
        <v>43310</v>
      </c>
      <c r="B224" s="12">
        <v>223</v>
      </c>
      <c r="C224" s="10" t="s">
        <v>53</v>
      </c>
      <c r="D224" s="10" t="s">
        <v>7</v>
      </c>
      <c r="E224" s="10">
        <v>1</v>
      </c>
      <c r="F224" s="10" t="s">
        <v>3</v>
      </c>
      <c r="G224" s="10">
        <v>2</v>
      </c>
      <c r="H224" s="10" t="s">
        <v>7</v>
      </c>
      <c r="I224" s="10">
        <v>0</v>
      </c>
      <c r="K224" s="2">
        <v>0.5</v>
      </c>
      <c r="L224" s="13">
        <f t="shared" si="1"/>
        <v>0.44444444444444442</v>
      </c>
      <c r="M224" s="13">
        <f>N224/Sheet1!$B224</f>
        <v>0.49775784753363228</v>
      </c>
      <c r="N224" s="2">
        <f t="shared" si="0"/>
        <v>111</v>
      </c>
      <c r="O224" s="2">
        <f>IF(Sheet1!$H224="ted",1,0)</f>
        <v>0</v>
      </c>
    </row>
    <row r="225" spans="1:15" ht="15.75" customHeight="1" x14ac:dyDescent="0.2">
      <c r="A225" s="11">
        <v>43314</v>
      </c>
      <c r="B225" s="12">
        <v>224</v>
      </c>
      <c r="C225" s="10" t="s">
        <v>53</v>
      </c>
      <c r="D225" s="10" t="s">
        <v>7</v>
      </c>
      <c r="E225" s="10">
        <v>0</v>
      </c>
      <c r="F225" s="10" t="s">
        <v>3</v>
      </c>
      <c r="G225" s="10">
        <v>2</v>
      </c>
      <c r="H225" s="10" t="s">
        <v>8</v>
      </c>
      <c r="I225" s="10">
        <v>0</v>
      </c>
      <c r="K225" s="2">
        <v>0.5</v>
      </c>
      <c r="L225" s="13">
        <f t="shared" si="1"/>
        <v>0.44444444444444442</v>
      </c>
      <c r="M225" s="13">
        <f>N225/Sheet1!$B225</f>
        <v>0.4955357142857143</v>
      </c>
      <c r="N225" s="2">
        <f t="shared" si="0"/>
        <v>111</v>
      </c>
      <c r="O225" s="2">
        <f>IF(Sheet1!$H225="ted",1,0)</f>
        <v>1</v>
      </c>
    </row>
    <row r="226" spans="1:15" ht="15.75" customHeight="1" x14ac:dyDescent="0.2">
      <c r="A226" s="11">
        <v>43314</v>
      </c>
      <c r="B226" s="12">
        <v>225</v>
      </c>
      <c r="C226" s="10" t="s">
        <v>53</v>
      </c>
      <c r="D226" s="10" t="s">
        <v>7</v>
      </c>
      <c r="E226" s="10">
        <v>0</v>
      </c>
      <c r="F226" s="10" t="s">
        <v>4</v>
      </c>
      <c r="G226" s="10">
        <v>0</v>
      </c>
      <c r="H226" s="10" t="s">
        <v>7</v>
      </c>
      <c r="I226" s="10">
        <v>1</v>
      </c>
      <c r="K226" s="2">
        <v>0.5</v>
      </c>
      <c r="L226" s="13">
        <f t="shared" si="1"/>
        <v>0.44444444444444442</v>
      </c>
      <c r="M226" s="13">
        <f>N226/Sheet1!$B226</f>
        <v>0.49333333333333335</v>
      </c>
      <c r="N226" s="2">
        <f t="shared" si="0"/>
        <v>111</v>
      </c>
      <c r="O226" s="2">
        <f>IF(Sheet1!$H226="ted",1,0)</f>
        <v>0</v>
      </c>
    </row>
    <row r="227" spans="1:15" ht="15.75" customHeight="1" x14ac:dyDescent="0.2">
      <c r="A227" s="11">
        <v>43314</v>
      </c>
      <c r="B227" s="12">
        <v>226</v>
      </c>
      <c r="C227" s="10" t="s">
        <v>53</v>
      </c>
      <c r="D227" s="10" t="s">
        <v>7</v>
      </c>
      <c r="E227" s="10">
        <v>0</v>
      </c>
      <c r="F227" s="10" t="s">
        <v>3</v>
      </c>
      <c r="G227" s="10">
        <v>4</v>
      </c>
      <c r="H227" s="10" t="s">
        <v>8</v>
      </c>
      <c r="I227" s="10">
        <v>0</v>
      </c>
      <c r="K227" s="2">
        <v>0.5</v>
      </c>
      <c r="L227" s="13">
        <f t="shared" si="1"/>
        <v>0.33333333333333331</v>
      </c>
      <c r="M227" s="13">
        <f>N227/Sheet1!$B227</f>
        <v>0.49115044247787609</v>
      </c>
      <c r="N227" s="2">
        <f t="shared" si="0"/>
        <v>111</v>
      </c>
      <c r="O227" s="2">
        <f>IF(Sheet1!$H227="ted",1,0)</f>
        <v>1</v>
      </c>
    </row>
    <row r="228" spans="1:15" ht="15.75" customHeight="1" x14ac:dyDescent="0.2">
      <c r="A228" s="11">
        <v>43315</v>
      </c>
      <c r="B228" s="12">
        <v>227</v>
      </c>
      <c r="C228" s="10" t="s">
        <v>53</v>
      </c>
      <c r="D228" s="10" t="s">
        <v>57</v>
      </c>
      <c r="E228" s="10">
        <v>1</v>
      </c>
      <c r="F228" s="10" t="s">
        <v>3</v>
      </c>
      <c r="G228" s="10">
        <v>1</v>
      </c>
      <c r="H228" s="10" t="s">
        <v>8</v>
      </c>
      <c r="I228" s="10">
        <v>0</v>
      </c>
      <c r="K228" s="2">
        <v>0.5</v>
      </c>
      <c r="L228" s="13">
        <f t="shared" si="1"/>
        <v>0.44444444444444442</v>
      </c>
      <c r="M228" s="13">
        <f>N228/Sheet1!$B228</f>
        <v>0.4933920704845815</v>
      </c>
      <c r="N228" s="2">
        <f t="shared" si="0"/>
        <v>112</v>
      </c>
      <c r="O228" s="2">
        <f>IF(Sheet1!$H228="ted",1,0)</f>
        <v>1</v>
      </c>
    </row>
    <row r="229" spans="1:15" ht="15.75" customHeight="1" x14ac:dyDescent="0.2">
      <c r="A229" s="11">
        <v>43315</v>
      </c>
      <c r="B229" s="12">
        <v>228</v>
      </c>
      <c r="C229" s="10" t="s">
        <v>53</v>
      </c>
      <c r="D229" s="10" t="s">
        <v>57</v>
      </c>
      <c r="E229" s="10">
        <v>1</v>
      </c>
      <c r="F229" s="10" t="s">
        <v>3</v>
      </c>
      <c r="G229" s="10">
        <v>6</v>
      </c>
      <c r="H229" s="10" t="s">
        <v>57</v>
      </c>
      <c r="I229" s="10">
        <v>0</v>
      </c>
      <c r="K229" s="2">
        <v>0.5</v>
      </c>
      <c r="L229" s="13">
        <f t="shared" si="1"/>
        <v>0.44444444444444442</v>
      </c>
      <c r="M229" s="13">
        <f>N229/Sheet1!$B229</f>
        <v>0.49561403508771928</v>
      </c>
      <c r="N229" s="2">
        <f t="shared" si="0"/>
        <v>113</v>
      </c>
      <c r="O229" s="2">
        <f>IF(Sheet1!$H229="ted",1,0)</f>
        <v>0</v>
      </c>
    </row>
    <row r="230" spans="1:15" ht="15.75" customHeight="1" x14ac:dyDescent="0.2">
      <c r="A230" s="11">
        <v>43315</v>
      </c>
      <c r="B230" s="12">
        <v>229</v>
      </c>
      <c r="C230" s="10" t="s">
        <v>53</v>
      </c>
      <c r="D230" s="10" t="s">
        <v>57</v>
      </c>
      <c r="E230" s="10">
        <v>1</v>
      </c>
      <c r="F230" s="10" t="s">
        <v>3</v>
      </c>
      <c r="G230" s="10">
        <v>1</v>
      </c>
      <c r="H230" s="10" t="s">
        <v>8</v>
      </c>
      <c r="I230" s="10">
        <v>0</v>
      </c>
      <c r="K230" s="2">
        <v>0.5</v>
      </c>
      <c r="L230" s="13">
        <f t="shared" si="1"/>
        <v>0.55555555555555558</v>
      </c>
      <c r="M230" s="13">
        <f>N230/Sheet1!$B230</f>
        <v>0.49781659388646288</v>
      </c>
      <c r="N230" s="2">
        <f t="shared" si="0"/>
        <v>114</v>
      </c>
      <c r="O230" s="2">
        <f>IF(Sheet1!$H230="ted",1,0)</f>
        <v>1</v>
      </c>
    </row>
    <row r="231" spans="1:15" ht="15.75" customHeight="1" x14ac:dyDescent="0.2">
      <c r="A231" s="11">
        <v>43315</v>
      </c>
      <c r="B231" s="12">
        <v>230</v>
      </c>
      <c r="C231" s="10" t="s">
        <v>53</v>
      </c>
      <c r="D231" s="10" t="s">
        <v>57</v>
      </c>
      <c r="E231" s="10">
        <v>0</v>
      </c>
      <c r="F231" s="10" t="s">
        <v>5</v>
      </c>
      <c r="G231" s="10">
        <v>0</v>
      </c>
      <c r="H231" s="10" t="s">
        <v>57</v>
      </c>
      <c r="I231" s="10">
        <v>1</v>
      </c>
      <c r="K231" s="2">
        <v>0.5</v>
      </c>
      <c r="L231" s="13">
        <f t="shared" si="1"/>
        <v>0.55555555555555558</v>
      </c>
      <c r="M231" s="13">
        <f>N231/Sheet1!$B231</f>
        <v>0.4956521739130435</v>
      </c>
      <c r="N231" s="2">
        <f t="shared" si="0"/>
        <v>114</v>
      </c>
      <c r="O231" s="2">
        <f>IF(Sheet1!$H231="ted",1,0)</f>
        <v>0</v>
      </c>
    </row>
    <row r="232" spans="1:15" ht="15.75" customHeight="1" x14ac:dyDescent="0.2">
      <c r="A232" s="11">
        <v>43315</v>
      </c>
      <c r="B232" s="12">
        <v>231</v>
      </c>
      <c r="C232" s="10" t="s">
        <v>53</v>
      </c>
      <c r="D232" s="10" t="s">
        <v>57</v>
      </c>
      <c r="E232" s="10">
        <v>1</v>
      </c>
      <c r="F232" s="10" t="s">
        <v>3</v>
      </c>
      <c r="G232" s="10">
        <v>2</v>
      </c>
      <c r="H232" s="10" t="s">
        <v>8</v>
      </c>
      <c r="I232" s="10">
        <v>0</v>
      </c>
      <c r="K232" s="2">
        <v>0.5</v>
      </c>
      <c r="L232" s="13">
        <f t="shared" si="1"/>
        <v>0.55555555555555558</v>
      </c>
      <c r="M232" s="13">
        <f>N232/Sheet1!$B232</f>
        <v>0.49783549783549785</v>
      </c>
      <c r="N232" s="2">
        <f t="shared" si="0"/>
        <v>115</v>
      </c>
      <c r="O232" s="2">
        <f>IF(Sheet1!$H232="ted",1,0)</f>
        <v>1</v>
      </c>
    </row>
    <row r="233" spans="1:15" ht="15.75" customHeight="1" x14ac:dyDescent="0.2">
      <c r="A233" s="11">
        <v>43315</v>
      </c>
      <c r="B233" s="12">
        <v>232</v>
      </c>
      <c r="C233" s="10" t="s">
        <v>53</v>
      </c>
      <c r="D233" s="10" t="s">
        <v>57</v>
      </c>
      <c r="E233" s="10">
        <v>1</v>
      </c>
      <c r="F233" s="10" t="s">
        <v>3</v>
      </c>
      <c r="G233" s="10">
        <v>1</v>
      </c>
      <c r="H233" s="10" t="s">
        <v>8</v>
      </c>
      <c r="I233" s="10">
        <v>0</v>
      </c>
      <c r="K233" s="2">
        <v>0.5</v>
      </c>
      <c r="L233" s="13">
        <f t="shared" si="1"/>
        <v>0.55555555555555558</v>
      </c>
      <c r="M233" s="13">
        <f>N233/Sheet1!$B233</f>
        <v>0.5</v>
      </c>
      <c r="N233" s="2">
        <f t="shared" si="0"/>
        <v>116</v>
      </c>
      <c r="O233" s="2">
        <f>IF(Sheet1!$H233="ted",1,0)</f>
        <v>1</v>
      </c>
    </row>
    <row r="234" spans="1:15" ht="15.75" customHeight="1" x14ac:dyDescent="0.2">
      <c r="A234" s="11">
        <v>43320</v>
      </c>
      <c r="B234" s="12">
        <v>233</v>
      </c>
      <c r="C234" s="10" t="s">
        <v>53</v>
      </c>
      <c r="D234" s="10" t="s">
        <v>59</v>
      </c>
      <c r="E234" s="10">
        <v>1</v>
      </c>
      <c r="F234" s="10" t="s">
        <v>3</v>
      </c>
      <c r="G234" s="10">
        <v>1</v>
      </c>
      <c r="H234" s="10" t="s">
        <v>59</v>
      </c>
      <c r="I234" s="10">
        <v>0</v>
      </c>
      <c r="K234" s="2">
        <v>0.5</v>
      </c>
      <c r="L234" s="13">
        <f t="shared" si="1"/>
        <v>0.66666666666666663</v>
      </c>
      <c r="M234" s="13">
        <f>N234/Sheet1!$B234</f>
        <v>0.50214592274678116</v>
      </c>
      <c r="N234" s="2">
        <f t="shared" si="0"/>
        <v>117</v>
      </c>
      <c r="O234" s="2">
        <f>IF(Sheet1!$H234="ted",1,0)</f>
        <v>0</v>
      </c>
    </row>
    <row r="235" spans="1:15" ht="15.75" customHeight="1" x14ac:dyDescent="0.2">
      <c r="A235" s="11">
        <v>43320</v>
      </c>
      <c r="B235" s="12">
        <v>234</v>
      </c>
      <c r="C235" s="10" t="s">
        <v>53</v>
      </c>
      <c r="D235" s="10" t="s">
        <v>59</v>
      </c>
      <c r="E235" s="10">
        <v>1</v>
      </c>
      <c r="F235" s="10" t="s">
        <v>3</v>
      </c>
      <c r="G235" s="10">
        <v>2</v>
      </c>
      <c r="H235" s="10" t="s">
        <v>8</v>
      </c>
      <c r="I235" s="10">
        <v>0</v>
      </c>
      <c r="K235" s="2">
        <v>0.5</v>
      </c>
      <c r="L235" s="13">
        <f t="shared" si="1"/>
        <v>0.77777777777777779</v>
      </c>
      <c r="M235" s="13">
        <f>N235/Sheet1!$B235</f>
        <v>0.50427350427350426</v>
      </c>
      <c r="N235" s="2">
        <f t="shared" si="0"/>
        <v>118</v>
      </c>
      <c r="O235" s="2">
        <f>IF(Sheet1!$H235="ted",1,0)</f>
        <v>1</v>
      </c>
    </row>
    <row r="236" spans="1:15" ht="15.75" customHeight="1" x14ac:dyDescent="0.2">
      <c r="A236" s="11">
        <v>43320</v>
      </c>
      <c r="B236" s="12">
        <v>235</v>
      </c>
      <c r="C236" s="10" t="s">
        <v>53</v>
      </c>
      <c r="D236" s="10" t="s">
        <v>59</v>
      </c>
      <c r="E236" s="10">
        <v>0</v>
      </c>
      <c r="F236" s="10" t="s">
        <v>3</v>
      </c>
      <c r="G236" s="10">
        <v>3</v>
      </c>
      <c r="H236" s="10" t="s">
        <v>8</v>
      </c>
      <c r="I236" s="10">
        <v>0</v>
      </c>
      <c r="K236" s="2">
        <v>0.5</v>
      </c>
      <c r="L236" s="13">
        <f t="shared" si="1"/>
        <v>0.77777777777777779</v>
      </c>
      <c r="M236" s="13">
        <f>N236/Sheet1!$B236</f>
        <v>0.50212765957446803</v>
      </c>
      <c r="N236" s="2">
        <f t="shared" si="0"/>
        <v>118</v>
      </c>
      <c r="O236" s="2">
        <f>IF(Sheet1!$H236="ted",1,0)</f>
        <v>1</v>
      </c>
    </row>
    <row r="237" spans="1:15" ht="15.75" customHeight="1" x14ac:dyDescent="0.2">
      <c r="A237" s="11">
        <v>43322</v>
      </c>
      <c r="B237" s="12">
        <v>236</v>
      </c>
      <c r="C237" s="10" t="s">
        <v>53</v>
      </c>
      <c r="D237" s="10" t="s">
        <v>7</v>
      </c>
      <c r="E237" s="10">
        <v>0</v>
      </c>
      <c r="F237" s="10" t="s">
        <v>3</v>
      </c>
      <c r="G237" s="10">
        <v>0</v>
      </c>
      <c r="H237" s="10" t="s">
        <v>7</v>
      </c>
      <c r="I237" s="10">
        <v>0</v>
      </c>
      <c r="K237" s="2">
        <v>0.5</v>
      </c>
      <c r="L237" s="13">
        <f t="shared" si="1"/>
        <v>0.66666666666666663</v>
      </c>
      <c r="M237" s="13">
        <f>N237/Sheet1!$B237</f>
        <v>0.5</v>
      </c>
      <c r="N237" s="2">
        <f t="shared" si="0"/>
        <v>118</v>
      </c>
      <c r="O237" s="2">
        <f>IF(Sheet1!$H237="ted",1,0)</f>
        <v>0</v>
      </c>
    </row>
    <row r="238" spans="1:15" ht="15.75" customHeight="1" x14ac:dyDescent="0.2">
      <c r="A238" s="11">
        <v>43322</v>
      </c>
      <c r="B238" s="12">
        <v>237</v>
      </c>
      <c r="C238" s="10" t="s">
        <v>53</v>
      </c>
      <c r="D238" s="10" t="s">
        <v>7</v>
      </c>
      <c r="E238" s="10">
        <v>1</v>
      </c>
      <c r="F238" s="10" t="s">
        <v>3</v>
      </c>
      <c r="G238" s="10">
        <v>3</v>
      </c>
      <c r="H238" s="10" t="s">
        <v>8</v>
      </c>
      <c r="I238" s="10">
        <v>0</v>
      </c>
      <c r="K238" s="2">
        <v>0.5</v>
      </c>
      <c r="L238" s="13">
        <f t="shared" si="1"/>
        <v>0.66666666666666663</v>
      </c>
      <c r="M238" s="13">
        <f>N238/Sheet1!$B238</f>
        <v>0.50210970464135019</v>
      </c>
      <c r="N238" s="2">
        <f t="shared" si="0"/>
        <v>119</v>
      </c>
      <c r="O238" s="2">
        <f>IF(Sheet1!$H238="ted",1,0)</f>
        <v>1</v>
      </c>
    </row>
    <row r="239" spans="1:15" ht="15.75" customHeight="1" x14ac:dyDescent="0.2">
      <c r="A239" s="11">
        <v>43322</v>
      </c>
      <c r="B239" s="12">
        <v>238</v>
      </c>
      <c r="C239" s="10" t="s">
        <v>53</v>
      </c>
      <c r="D239" s="10" t="s">
        <v>7</v>
      </c>
      <c r="E239" s="10">
        <v>0</v>
      </c>
      <c r="F239" s="10" t="s">
        <v>3</v>
      </c>
      <c r="G239" s="10">
        <v>2</v>
      </c>
      <c r="H239" s="10" t="s">
        <v>7</v>
      </c>
      <c r="I239" s="10">
        <v>0</v>
      </c>
      <c r="K239" s="2">
        <v>0.5</v>
      </c>
      <c r="L239" s="13">
        <f t="shared" si="1"/>
        <v>0.55555555555555558</v>
      </c>
      <c r="M239" s="13">
        <f>N239/Sheet1!$B239</f>
        <v>0.5</v>
      </c>
      <c r="N239" s="2">
        <f t="shared" si="0"/>
        <v>119</v>
      </c>
      <c r="O239" s="2">
        <f>IF(Sheet1!$H239="ted",1,0)</f>
        <v>0</v>
      </c>
    </row>
    <row r="240" spans="1:15" ht="15.75" customHeight="1" x14ac:dyDescent="0.2">
      <c r="A240" s="11">
        <v>43322</v>
      </c>
      <c r="B240" s="12">
        <v>239</v>
      </c>
      <c r="C240" s="10" t="s">
        <v>53</v>
      </c>
      <c r="D240" s="10" t="s">
        <v>7</v>
      </c>
      <c r="E240" s="10">
        <v>1</v>
      </c>
      <c r="F240" s="10" t="s">
        <v>3</v>
      </c>
      <c r="G240" s="10">
        <v>1</v>
      </c>
      <c r="H240" s="10" t="s">
        <v>8</v>
      </c>
      <c r="I240" s="10">
        <v>0</v>
      </c>
      <c r="K240" s="2">
        <v>0.5</v>
      </c>
      <c r="L240" s="13">
        <f t="shared" si="1"/>
        <v>0.66666666666666663</v>
      </c>
      <c r="M240" s="13">
        <f>N240/Sheet1!$B240</f>
        <v>0.502092050209205</v>
      </c>
      <c r="N240" s="2">
        <f t="shared" si="0"/>
        <v>120</v>
      </c>
      <c r="O240" s="2">
        <f>IF(Sheet1!$H240="ted",1,0)</f>
        <v>1</v>
      </c>
    </row>
    <row r="241" spans="1:15" ht="15.75" customHeight="1" x14ac:dyDescent="0.2">
      <c r="A241" s="11">
        <v>43322</v>
      </c>
      <c r="B241" s="12">
        <f t="shared" ref="B241:B548" si="2">B240+1</f>
        <v>240</v>
      </c>
      <c r="C241" s="10" t="s">
        <v>53</v>
      </c>
      <c r="D241" s="10" t="s">
        <v>7</v>
      </c>
      <c r="E241" s="10">
        <v>0</v>
      </c>
      <c r="F241" s="10" t="s">
        <v>3</v>
      </c>
      <c r="G241" s="10">
        <v>1</v>
      </c>
      <c r="H241" s="10" t="s">
        <v>7</v>
      </c>
      <c r="I241" s="10">
        <v>0</v>
      </c>
      <c r="K241" s="2">
        <v>0.5</v>
      </c>
      <c r="L241" s="13">
        <f t="shared" si="1"/>
        <v>0.55555555555555558</v>
      </c>
      <c r="M241" s="13">
        <f>N241/Sheet1!$B241</f>
        <v>0.5</v>
      </c>
      <c r="N241" s="2">
        <f t="shared" si="0"/>
        <v>120</v>
      </c>
      <c r="O241" s="2">
        <f>IF(Sheet1!$H241="ted",1,0)</f>
        <v>0</v>
      </c>
    </row>
    <row r="242" spans="1:15" ht="15.75" customHeight="1" x14ac:dyDescent="0.2">
      <c r="A242" s="11">
        <v>43322</v>
      </c>
      <c r="B242" s="12">
        <f t="shared" si="2"/>
        <v>241</v>
      </c>
      <c r="C242" s="10" t="s">
        <v>53</v>
      </c>
      <c r="D242" s="10" t="s">
        <v>7</v>
      </c>
      <c r="E242" s="10">
        <v>1</v>
      </c>
      <c r="F242" s="10" t="s">
        <v>5</v>
      </c>
      <c r="G242" s="10">
        <v>0</v>
      </c>
      <c r="H242" s="10" t="s">
        <v>8</v>
      </c>
      <c r="I242" s="10">
        <v>0</v>
      </c>
      <c r="K242" s="2">
        <v>0.5</v>
      </c>
      <c r="L242" s="13">
        <f t="shared" si="1"/>
        <v>0.55555555555555558</v>
      </c>
      <c r="M242" s="13">
        <f>N242/Sheet1!$B242</f>
        <v>0.50207468879668049</v>
      </c>
      <c r="N242" s="2">
        <f t="shared" si="0"/>
        <v>121</v>
      </c>
      <c r="O242" s="2">
        <f>IF(Sheet1!$H242="ted",1,0)</f>
        <v>1</v>
      </c>
    </row>
    <row r="243" spans="1:15" ht="15.75" customHeight="1" x14ac:dyDescent="0.2">
      <c r="A243" s="11">
        <v>43371</v>
      </c>
      <c r="B243" s="12">
        <f t="shared" si="2"/>
        <v>242</v>
      </c>
      <c r="C243" s="10" t="s">
        <v>53</v>
      </c>
      <c r="D243" s="10" t="s">
        <v>59</v>
      </c>
      <c r="E243" s="10">
        <v>1</v>
      </c>
      <c r="F243" s="10" t="s">
        <v>3</v>
      </c>
      <c r="G243" s="10">
        <v>3</v>
      </c>
      <c r="H243" s="10" t="s">
        <v>59</v>
      </c>
      <c r="I243" s="10">
        <v>0</v>
      </c>
      <c r="K243" s="2">
        <v>0.5</v>
      </c>
      <c r="L243" s="13">
        <f t="shared" si="1"/>
        <v>0.55555555555555558</v>
      </c>
      <c r="M243" s="13">
        <f>N243/Sheet1!$B243</f>
        <v>0.50413223140495866</v>
      </c>
      <c r="N243" s="2">
        <f t="shared" si="0"/>
        <v>122</v>
      </c>
      <c r="O243" s="2">
        <f>IF(Sheet1!$H243="ted",1,0)</f>
        <v>0</v>
      </c>
    </row>
    <row r="244" spans="1:15" ht="15.75" customHeight="1" x14ac:dyDescent="0.2">
      <c r="A244" s="11">
        <v>43371</v>
      </c>
      <c r="B244" s="12">
        <f t="shared" si="2"/>
        <v>243</v>
      </c>
      <c r="C244" s="10" t="s">
        <v>53</v>
      </c>
      <c r="D244" s="10" t="s">
        <v>59</v>
      </c>
      <c r="E244" s="10">
        <v>1</v>
      </c>
      <c r="F244" s="10" t="s">
        <v>3</v>
      </c>
      <c r="G244" s="10">
        <v>0</v>
      </c>
      <c r="H244" s="10" t="s">
        <v>8</v>
      </c>
      <c r="I244" s="10">
        <v>0</v>
      </c>
      <c r="K244" s="2">
        <v>0.5</v>
      </c>
      <c r="L244" s="13">
        <f t="shared" si="1"/>
        <v>0.55555555555555558</v>
      </c>
      <c r="M244" s="13">
        <f>N244/Sheet1!$B244</f>
        <v>0.50617283950617287</v>
      </c>
      <c r="N244" s="2">
        <f t="shared" si="0"/>
        <v>123</v>
      </c>
      <c r="O244" s="2">
        <f>IF(Sheet1!$H244="ted",1,0)</f>
        <v>1</v>
      </c>
    </row>
    <row r="245" spans="1:15" ht="15.75" customHeight="1" x14ac:dyDescent="0.2">
      <c r="A245" s="11">
        <v>43371</v>
      </c>
      <c r="B245" s="12">
        <f t="shared" si="2"/>
        <v>244</v>
      </c>
      <c r="C245" s="10" t="s">
        <v>53</v>
      </c>
      <c r="D245" s="10" t="s">
        <v>59</v>
      </c>
      <c r="E245" s="10">
        <v>1</v>
      </c>
      <c r="F245" s="10" t="s">
        <v>3</v>
      </c>
      <c r="G245" s="10">
        <v>1</v>
      </c>
      <c r="H245" s="10" t="s">
        <v>8</v>
      </c>
      <c r="I245" s="10">
        <v>0</v>
      </c>
      <c r="K245" s="2">
        <v>0.5</v>
      </c>
      <c r="L245" s="13">
        <f t="shared" si="1"/>
        <v>0.66666666666666663</v>
      </c>
      <c r="M245" s="13">
        <f>N245/Sheet1!$B245</f>
        <v>0.50819672131147542</v>
      </c>
      <c r="N245" s="2">
        <f t="shared" si="0"/>
        <v>124</v>
      </c>
      <c r="O245" s="2">
        <f>IF(Sheet1!$H245="ted",1,0)</f>
        <v>1</v>
      </c>
    </row>
    <row r="246" spans="1:15" ht="15.75" customHeight="1" x14ac:dyDescent="0.2">
      <c r="A246" s="11">
        <v>43380</v>
      </c>
      <c r="B246" s="12">
        <f t="shared" si="2"/>
        <v>245</v>
      </c>
      <c r="C246" s="10" t="s">
        <v>53</v>
      </c>
      <c r="D246" s="10" t="s">
        <v>7</v>
      </c>
      <c r="E246" s="10">
        <v>0</v>
      </c>
      <c r="F246" s="10" t="s">
        <v>3</v>
      </c>
      <c r="G246" s="10">
        <v>1</v>
      </c>
      <c r="H246" s="10" t="s">
        <v>8</v>
      </c>
      <c r="I246" s="10">
        <v>0</v>
      </c>
      <c r="K246" s="2">
        <v>0.5</v>
      </c>
      <c r="L246" s="13">
        <f t="shared" si="1"/>
        <v>0.66666666666666663</v>
      </c>
      <c r="M246" s="13">
        <f>N246/Sheet1!$B246</f>
        <v>0.5061224489795918</v>
      </c>
      <c r="N246" s="2">
        <f t="shared" si="0"/>
        <v>124</v>
      </c>
      <c r="O246" s="2">
        <f>IF(Sheet1!$H246="ted",1,0)</f>
        <v>1</v>
      </c>
    </row>
    <row r="247" spans="1:15" ht="15.75" customHeight="1" x14ac:dyDescent="0.2">
      <c r="A247" s="11">
        <v>43519</v>
      </c>
      <c r="B247" s="12">
        <f t="shared" si="2"/>
        <v>246</v>
      </c>
      <c r="C247" s="10" t="s">
        <v>65</v>
      </c>
      <c r="D247" s="10" t="s">
        <v>7</v>
      </c>
      <c r="E247" s="10">
        <v>1</v>
      </c>
      <c r="F247" s="10" t="s">
        <v>3</v>
      </c>
      <c r="G247" s="10">
        <v>1</v>
      </c>
      <c r="H247" s="10" t="s">
        <v>8</v>
      </c>
      <c r="I247" s="10">
        <v>0</v>
      </c>
      <c r="K247" s="2">
        <v>0.5</v>
      </c>
      <c r="L247" s="13">
        <f t="shared" si="1"/>
        <v>0.66666666666666663</v>
      </c>
      <c r="M247" s="13">
        <f>N247/Sheet1!$B247</f>
        <v>0.50813008130081305</v>
      </c>
      <c r="N247" s="2">
        <f t="shared" si="0"/>
        <v>125</v>
      </c>
      <c r="O247" s="2">
        <f>IF(Sheet1!$H247="ted",1,0)</f>
        <v>1</v>
      </c>
    </row>
    <row r="248" spans="1:15" ht="15.75" customHeight="1" x14ac:dyDescent="0.2">
      <c r="A248" s="11">
        <v>43526</v>
      </c>
      <c r="B248" s="12">
        <f t="shared" si="2"/>
        <v>247</v>
      </c>
      <c r="C248" s="10" t="s">
        <v>53</v>
      </c>
      <c r="D248" s="10" t="s">
        <v>7</v>
      </c>
      <c r="E248" s="10">
        <v>1</v>
      </c>
      <c r="F248" s="10" t="s">
        <v>3</v>
      </c>
      <c r="G248" s="10">
        <v>4</v>
      </c>
      <c r="H248" s="10" t="s">
        <v>8</v>
      </c>
      <c r="I248" s="10">
        <v>0</v>
      </c>
      <c r="K248" s="2">
        <v>0.5</v>
      </c>
      <c r="L248" s="13">
        <f t="shared" si="1"/>
        <v>0.77777777777777779</v>
      </c>
      <c r="M248" s="13">
        <f>N248/Sheet1!$B248</f>
        <v>0.51012145748987858</v>
      </c>
      <c r="N248" s="2">
        <f t="shared" si="0"/>
        <v>126</v>
      </c>
      <c r="O248" s="2">
        <f>IF(Sheet1!$H248="ted",1,0)</f>
        <v>1</v>
      </c>
    </row>
    <row r="249" spans="1:15" ht="15.75" customHeight="1" x14ac:dyDescent="0.2">
      <c r="A249" s="11">
        <v>43575</v>
      </c>
      <c r="B249" s="12">
        <f t="shared" si="2"/>
        <v>248</v>
      </c>
      <c r="C249" s="10" t="s">
        <v>53</v>
      </c>
      <c r="D249" s="10" t="s">
        <v>57</v>
      </c>
      <c r="E249" s="10">
        <v>1</v>
      </c>
      <c r="F249" s="10" t="s">
        <v>3</v>
      </c>
      <c r="G249" s="10">
        <v>5</v>
      </c>
      <c r="H249" s="10" t="s">
        <v>8</v>
      </c>
      <c r="I249" s="10">
        <v>0</v>
      </c>
      <c r="K249" s="2">
        <v>0.5</v>
      </c>
      <c r="L249" s="13">
        <f t="shared" si="1"/>
        <v>0.77777777777777779</v>
      </c>
      <c r="M249" s="13">
        <f>N249/Sheet1!$B249</f>
        <v>0.51209677419354838</v>
      </c>
      <c r="N249" s="2">
        <f t="shared" si="0"/>
        <v>127</v>
      </c>
      <c r="O249" s="2">
        <f>IF(Sheet1!$H249="ted",1,0)</f>
        <v>1</v>
      </c>
    </row>
    <row r="250" spans="1:15" ht="15.75" customHeight="1" x14ac:dyDescent="0.2">
      <c r="A250" s="11">
        <v>43581</v>
      </c>
      <c r="B250" s="12">
        <f t="shared" si="2"/>
        <v>249</v>
      </c>
      <c r="C250" s="10" t="s">
        <v>53</v>
      </c>
      <c r="D250" s="10" t="s">
        <v>59</v>
      </c>
      <c r="E250" s="10">
        <v>1</v>
      </c>
      <c r="F250" s="10" t="s">
        <v>3</v>
      </c>
      <c r="G250" s="10">
        <v>1</v>
      </c>
      <c r="H250" s="10" t="s">
        <v>59</v>
      </c>
      <c r="I250" s="10">
        <v>0</v>
      </c>
      <c r="K250" s="2">
        <v>0.5</v>
      </c>
      <c r="L250" s="13">
        <f t="shared" si="1"/>
        <v>0.88888888888888884</v>
      </c>
      <c r="M250" s="13">
        <f>N250/Sheet1!$B250</f>
        <v>0.51405622489959835</v>
      </c>
      <c r="N250" s="2">
        <f t="shared" si="0"/>
        <v>128</v>
      </c>
      <c r="O250" s="2">
        <f>IF(Sheet1!$H250="ted",1,0)</f>
        <v>0</v>
      </c>
    </row>
    <row r="251" spans="1:15" ht="15.75" customHeight="1" x14ac:dyDescent="0.2">
      <c r="A251" s="11">
        <v>43581</v>
      </c>
      <c r="B251" s="12">
        <f t="shared" si="2"/>
        <v>250</v>
      </c>
      <c r="C251" s="10" t="s">
        <v>53</v>
      </c>
      <c r="D251" s="10" t="s">
        <v>59</v>
      </c>
      <c r="E251" s="10">
        <v>1</v>
      </c>
      <c r="F251" s="10" t="s">
        <v>3</v>
      </c>
      <c r="G251" s="10">
        <v>2</v>
      </c>
      <c r="H251" s="10" t="s">
        <v>8</v>
      </c>
      <c r="I251" s="10">
        <v>0</v>
      </c>
      <c r="K251" s="2">
        <v>0.5</v>
      </c>
      <c r="L251" s="13">
        <f t="shared" si="1"/>
        <v>0.88888888888888884</v>
      </c>
      <c r="M251" s="13">
        <f>N251/Sheet1!$B251</f>
        <v>0.51600000000000001</v>
      </c>
      <c r="N251" s="2">
        <f t="shared" si="0"/>
        <v>129</v>
      </c>
      <c r="O251" s="2">
        <f>IF(Sheet1!$H251="ted",1,0)</f>
        <v>1</v>
      </c>
    </row>
    <row r="252" spans="1:15" ht="15.75" customHeight="1" x14ac:dyDescent="0.2">
      <c r="A252" s="11">
        <v>43581</v>
      </c>
      <c r="B252" s="12">
        <f t="shared" si="2"/>
        <v>251</v>
      </c>
      <c r="C252" s="10" t="s">
        <v>53</v>
      </c>
      <c r="D252" s="10" t="s">
        <v>59</v>
      </c>
      <c r="E252" s="10">
        <v>1</v>
      </c>
      <c r="F252" s="10" t="s">
        <v>3</v>
      </c>
      <c r="G252" s="10">
        <v>2</v>
      </c>
      <c r="H252" s="10" t="s">
        <v>59</v>
      </c>
      <c r="I252" s="10">
        <v>0</v>
      </c>
      <c r="K252" s="2">
        <v>0.5</v>
      </c>
      <c r="L252" s="13">
        <f t="shared" si="1"/>
        <v>0.88888888888888884</v>
      </c>
      <c r="M252" s="13">
        <f>N252/Sheet1!$B252</f>
        <v>0.51792828685258963</v>
      </c>
      <c r="N252" s="2">
        <f t="shared" si="0"/>
        <v>130</v>
      </c>
      <c r="O252" s="2">
        <f>IF(Sheet1!$H252="ted",1,0)</f>
        <v>0</v>
      </c>
    </row>
    <row r="253" spans="1:15" ht="15.75" customHeight="1" x14ac:dyDescent="0.2">
      <c r="A253" s="11">
        <v>43581</v>
      </c>
      <c r="B253" s="12">
        <f t="shared" si="2"/>
        <v>252</v>
      </c>
      <c r="C253" s="10" t="s">
        <v>53</v>
      </c>
      <c r="D253" s="10" t="s">
        <v>59</v>
      </c>
      <c r="E253" s="10">
        <v>1</v>
      </c>
      <c r="F253" s="10" t="s">
        <v>3</v>
      </c>
      <c r="G253" s="10">
        <v>2</v>
      </c>
      <c r="H253" s="10" t="s">
        <v>8</v>
      </c>
      <c r="I253" s="10">
        <v>0</v>
      </c>
      <c r="K253" s="2">
        <v>0.5</v>
      </c>
      <c r="L253" s="13">
        <f t="shared" si="1"/>
        <v>0.88888888888888884</v>
      </c>
      <c r="M253" s="13">
        <f>N253/Sheet1!$B253</f>
        <v>0.51984126984126988</v>
      </c>
      <c r="N253" s="2">
        <f t="shared" si="0"/>
        <v>131</v>
      </c>
      <c r="O253" s="2">
        <f>IF(Sheet1!$H253="ted",1,0)</f>
        <v>1</v>
      </c>
    </row>
    <row r="254" spans="1:15" ht="15.75" customHeight="1" x14ac:dyDescent="0.2">
      <c r="A254" s="11">
        <v>43599</v>
      </c>
      <c r="B254" s="12">
        <f t="shared" si="2"/>
        <v>253</v>
      </c>
      <c r="C254" s="10" t="s">
        <v>53</v>
      </c>
      <c r="D254" s="10" t="s">
        <v>59</v>
      </c>
      <c r="E254" s="10">
        <v>1</v>
      </c>
      <c r="F254" s="10" t="s">
        <v>3</v>
      </c>
      <c r="G254" s="10">
        <v>5</v>
      </c>
      <c r="H254" s="10" t="s">
        <v>8</v>
      </c>
      <c r="I254" s="10">
        <v>0</v>
      </c>
      <c r="K254" s="2">
        <v>0.5</v>
      </c>
      <c r="L254" s="13">
        <f t="shared" si="1"/>
        <v>0.88888888888888884</v>
      </c>
      <c r="M254" s="13">
        <f>N254/Sheet1!$B254</f>
        <v>0.52173913043478259</v>
      </c>
      <c r="N254" s="2">
        <f t="shared" si="0"/>
        <v>132</v>
      </c>
      <c r="O254" s="2">
        <f>IF(Sheet1!$H254="ted",1,0)</f>
        <v>1</v>
      </c>
    </row>
    <row r="255" spans="1:15" ht="15.75" customHeight="1" x14ac:dyDescent="0.2">
      <c r="A255" s="11">
        <v>43599</v>
      </c>
      <c r="B255" s="12">
        <f t="shared" si="2"/>
        <v>254</v>
      </c>
      <c r="C255" s="10" t="s">
        <v>53</v>
      </c>
      <c r="D255" s="10" t="s">
        <v>59</v>
      </c>
      <c r="E255" s="10">
        <v>0</v>
      </c>
      <c r="F255" s="10" t="s">
        <v>3</v>
      </c>
      <c r="G255" s="10">
        <v>0</v>
      </c>
      <c r="H255" s="10" t="s">
        <v>59</v>
      </c>
      <c r="I255" s="10">
        <v>0</v>
      </c>
      <c r="K255" s="2">
        <v>0.5</v>
      </c>
      <c r="L255" s="13">
        <f t="shared" si="1"/>
        <v>0.88888888888888884</v>
      </c>
      <c r="M255" s="13">
        <f>N255/Sheet1!$B255</f>
        <v>0.51968503937007871</v>
      </c>
      <c r="N255" s="2">
        <f t="shared" si="0"/>
        <v>132</v>
      </c>
      <c r="O255" s="2">
        <f>IF(Sheet1!$H255="ted",1,0)</f>
        <v>0</v>
      </c>
    </row>
    <row r="256" spans="1:15" ht="15.75" customHeight="1" x14ac:dyDescent="0.2">
      <c r="A256" s="11">
        <v>43599</v>
      </c>
      <c r="B256" s="12">
        <f t="shared" si="2"/>
        <v>255</v>
      </c>
      <c r="C256" s="10" t="s">
        <v>53</v>
      </c>
      <c r="D256" s="10" t="s">
        <v>59</v>
      </c>
      <c r="E256" s="10">
        <v>1</v>
      </c>
      <c r="F256" s="10" t="s">
        <v>2</v>
      </c>
      <c r="G256" s="10">
        <v>4</v>
      </c>
      <c r="H256" s="10" t="s">
        <v>8</v>
      </c>
      <c r="I256" s="10">
        <v>7</v>
      </c>
      <c r="K256" s="2">
        <v>0.5</v>
      </c>
      <c r="L256" s="13">
        <f t="shared" si="1"/>
        <v>0.88888888888888884</v>
      </c>
      <c r="M256" s="13">
        <f>N256/Sheet1!$B256</f>
        <v>0.52156862745098043</v>
      </c>
      <c r="N256" s="2">
        <f t="shared" si="0"/>
        <v>133</v>
      </c>
      <c r="O256" s="2">
        <f>IF(Sheet1!$H256="ted",1,0)</f>
        <v>1</v>
      </c>
    </row>
    <row r="257" spans="1:15" ht="15.75" customHeight="1" x14ac:dyDescent="0.2">
      <c r="A257" s="11">
        <v>43606</v>
      </c>
      <c r="B257" s="12">
        <f t="shared" si="2"/>
        <v>256</v>
      </c>
      <c r="C257" s="10" t="s">
        <v>53</v>
      </c>
      <c r="D257" s="10" t="s">
        <v>59</v>
      </c>
      <c r="E257" s="10">
        <v>0</v>
      </c>
      <c r="F257" s="10" t="s">
        <v>3</v>
      </c>
      <c r="G257" s="10">
        <v>0</v>
      </c>
      <c r="H257" s="10" t="s">
        <v>8</v>
      </c>
      <c r="I257" s="10">
        <v>0</v>
      </c>
      <c r="K257" s="2">
        <v>0.5</v>
      </c>
      <c r="L257" s="13">
        <f t="shared" si="1"/>
        <v>0.77777777777777779</v>
      </c>
      <c r="M257" s="13">
        <f>N257/Sheet1!$B257</f>
        <v>0.51953125</v>
      </c>
      <c r="N257" s="2">
        <f t="shared" si="0"/>
        <v>133</v>
      </c>
      <c r="O257" s="2">
        <f>IF(Sheet1!$H257="ted",1,0)</f>
        <v>1</v>
      </c>
    </row>
    <row r="258" spans="1:15" ht="15.75" customHeight="1" x14ac:dyDescent="0.2">
      <c r="A258" s="11">
        <v>43609</v>
      </c>
      <c r="B258" s="12">
        <f t="shared" si="2"/>
        <v>257</v>
      </c>
      <c r="C258" s="10" t="s">
        <v>78</v>
      </c>
      <c r="D258" s="10" t="s">
        <v>59</v>
      </c>
      <c r="E258" s="10">
        <v>1</v>
      </c>
      <c r="F258" s="10" t="s">
        <v>3</v>
      </c>
      <c r="G258" s="10">
        <v>2</v>
      </c>
      <c r="H258" s="10" t="s">
        <v>59</v>
      </c>
      <c r="I258" s="10">
        <v>0</v>
      </c>
      <c r="K258" s="2">
        <v>0.5</v>
      </c>
      <c r="L258" s="13">
        <f t="shared" si="1"/>
        <v>0.77777777777777779</v>
      </c>
      <c r="M258" s="13">
        <f>N258/Sheet1!$B258</f>
        <v>0.52140077821011677</v>
      </c>
      <c r="N258" s="2">
        <f t="shared" ref="N258:N512" si="3">E258+N257</f>
        <v>134</v>
      </c>
      <c r="O258" s="2">
        <f>IF(Sheet1!$H258="ted",1,0)</f>
        <v>0</v>
      </c>
    </row>
    <row r="259" spans="1:15" ht="15.75" customHeight="1" x14ac:dyDescent="0.2">
      <c r="A259" s="11">
        <v>43609</v>
      </c>
      <c r="B259" s="12">
        <f t="shared" si="2"/>
        <v>258</v>
      </c>
      <c r="C259" s="10" t="s">
        <v>78</v>
      </c>
      <c r="D259" s="10" t="s">
        <v>59</v>
      </c>
      <c r="E259" s="10">
        <v>0</v>
      </c>
      <c r="F259" s="10" t="s">
        <v>3</v>
      </c>
      <c r="G259" s="10">
        <v>0</v>
      </c>
      <c r="H259" s="10" t="s">
        <v>8</v>
      </c>
      <c r="I259" s="10">
        <v>0</v>
      </c>
      <c r="K259" s="2">
        <v>0.5</v>
      </c>
      <c r="L259" s="13">
        <f t="shared" si="1"/>
        <v>0.66666666666666663</v>
      </c>
      <c r="M259" s="13">
        <f>N259/Sheet1!$B259</f>
        <v>0.51937984496124034</v>
      </c>
      <c r="N259" s="2">
        <f t="shared" si="3"/>
        <v>134</v>
      </c>
      <c r="O259" s="2">
        <f>IF(Sheet1!$H259="ted",1,0)</f>
        <v>1</v>
      </c>
    </row>
    <row r="260" spans="1:15" ht="15.75" customHeight="1" x14ac:dyDescent="0.2">
      <c r="A260" s="11">
        <v>43609</v>
      </c>
      <c r="B260" s="12">
        <f t="shared" si="2"/>
        <v>259</v>
      </c>
      <c r="C260" s="10" t="s">
        <v>78</v>
      </c>
      <c r="D260" s="10" t="s">
        <v>59</v>
      </c>
      <c r="E260" s="10">
        <v>0</v>
      </c>
      <c r="F260" s="10" t="s">
        <v>3</v>
      </c>
      <c r="G260" s="10">
        <v>1</v>
      </c>
      <c r="H260" s="10" t="s">
        <v>59</v>
      </c>
      <c r="I260" s="10">
        <v>0</v>
      </c>
      <c r="K260" s="2">
        <v>0.5</v>
      </c>
      <c r="L260" s="13">
        <f t="shared" si="1"/>
        <v>0.55555555555555558</v>
      </c>
      <c r="M260" s="13">
        <f>N260/Sheet1!$B260</f>
        <v>0.51737451737451734</v>
      </c>
      <c r="N260" s="2">
        <f t="shared" si="3"/>
        <v>134</v>
      </c>
      <c r="O260" s="2">
        <f>IF(Sheet1!$H260="ted",1,0)</f>
        <v>0</v>
      </c>
    </row>
    <row r="261" spans="1:15" ht="15.75" customHeight="1" x14ac:dyDescent="0.2">
      <c r="A261" s="11">
        <v>43609</v>
      </c>
      <c r="B261" s="12">
        <f t="shared" si="2"/>
        <v>260</v>
      </c>
      <c r="C261" s="10" t="s">
        <v>78</v>
      </c>
      <c r="D261" s="10" t="s">
        <v>59</v>
      </c>
      <c r="E261" s="10">
        <v>0</v>
      </c>
      <c r="F261" s="10" t="s">
        <v>3</v>
      </c>
      <c r="G261" s="10">
        <v>2</v>
      </c>
      <c r="H261" s="10" t="s">
        <v>8</v>
      </c>
      <c r="I261" s="10">
        <v>0</v>
      </c>
      <c r="K261" s="2">
        <v>0.5</v>
      </c>
      <c r="L261" s="13">
        <f t="shared" si="1"/>
        <v>0.44444444444444442</v>
      </c>
      <c r="M261" s="13">
        <f>N261/Sheet1!$B261</f>
        <v>0.51538461538461533</v>
      </c>
      <c r="N261" s="2">
        <f t="shared" si="3"/>
        <v>134</v>
      </c>
      <c r="O261" s="2">
        <f>IF(Sheet1!$H261="ted",1,0)</f>
        <v>1</v>
      </c>
    </row>
    <row r="262" spans="1:15" ht="15.75" customHeight="1" x14ac:dyDescent="0.2">
      <c r="A262" s="11">
        <v>43616</v>
      </c>
      <c r="B262" s="12">
        <f t="shared" si="2"/>
        <v>261</v>
      </c>
      <c r="C262" s="10" t="s">
        <v>78</v>
      </c>
      <c r="D262" s="10" t="s">
        <v>59</v>
      </c>
      <c r="E262" s="10">
        <v>1</v>
      </c>
      <c r="F262" s="10" t="s">
        <v>3</v>
      </c>
      <c r="G262" s="10">
        <v>1</v>
      </c>
      <c r="H262" s="10" t="s">
        <v>8</v>
      </c>
      <c r="I262" s="10">
        <v>0</v>
      </c>
      <c r="K262" s="2">
        <v>0.5</v>
      </c>
      <c r="L262" s="13">
        <f t="shared" si="1"/>
        <v>0.44444444444444442</v>
      </c>
      <c r="M262" s="13">
        <f>N262/Sheet1!$B262</f>
        <v>0.51724137931034486</v>
      </c>
      <c r="N262" s="2">
        <f t="shared" si="3"/>
        <v>135</v>
      </c>
      <c r="O262" s="2">
        <f>IF(Sheet1!$H262="ted",1,0)</f>
        <v>1</v>
      </c>
    </row>
    <row r="263" spans="1:15" ht="15.75" customHeight="1" x14ac:dyDescent="0.2">
      <c r="A263" s="11">
        <v>43616</v>
      </c>
      <c r="B263" s="12">
        <f t="shared" si="2"/>
        <v>262</v>
      </c>
      <c r="C263" s="10" t="s">
        <v>78</v>
      </c>
      <c r="D263" s="10" t="s">
        <v>77</v>
      </c>
      <c r="E263" s="10">
        <v>0</v>
      </c>
      <c r="F263" s="10" t="s">
        <v>3</v>
      </c>
      <c r="G263" s="10">
        <v>1</v>
      </c>
      <c r="H263" s="10" t="s">
        <v>77</v>
      </c>
      <c r="I263" s="10">
        <v>0</v>
      </c>
      <c r="K263" s="2">
        <v>0.5</v>
      </c>
      <c r="L263" s="13">
        <f t="shared" si="1"/>
        <v>0.33333333333333331</v>
      </c>
      <c r="M263" s="13">
        <f>N263/Sheet1!$B263</f>
        <v>0.51526717557251911</v>
      </c>
      <c r="N263" s="2">
        <f t="shared" si="3"/>
        <v>135</v>
      </c>
      <c r="O263" s="2">
        <f>IF(Sheet1!$H263="ted",1,0)</f>
        <v>0</v>
      </c>
    </row>
    <row r="264" spans="1:15" ht="15.75" customHeight="1" x14ac:dyDescent="0.2">
      <c r="A264" s="11">
        <v>43626</v>
      </c>
      <c r="B264" s="12">
        <f t="shared" si="2"/>
        <v>263</v>
      </c>
      <c r="C264" s="10" t="s">
        <v>53</v>
      </c>
      <c r="D264" s="10" t="s">
        <v>59</v>
      </c>
      <c r="E264" s="10">
        <v>1</v>
      </c>
      <c r="F264" s="10" t="s">
        <v>3</v>
      </c>
      <c r="G264" s="10">
        <v>1</v>
      </c>
      <c r="H264" s="10" t="s">
        <v>8</v>
      </c>
      <c r="I264" s="10">
        <v>0</v>
      </c>
      <c r="K264" s="2">
        <v>0.5</v>
      </c>
      <c r="L264" s="13">
        <f t="shared" si="1"/>
        <v>0.44444444444444442</v>
      </c>
      <c r="M264" s="13">
        <f>N264/Sheet1!$B264</f>
        <v>0.5171102661596958</v>
      </c>
      <c r="N264" s="2">
        <f t="shared" si="3"/>
        <v>136</v>
      </c>
      <c r="O264" s="2">
        <f>IF(Sheet1!$H264="ted",1,0)</f>
        <v>1</v>
      </c>
    </row>
    <row r="265" spans="1:15" ht="15.75" customHeight="1" x14ac:dyDescent="0.2">
      <c r="A265" s="11">
        <v>43626</v>
      </c>
      <c r="B265" s="12">
        <f t="shared" si="2"/>
        <v>264</v>
      </c>
      <c r="C265" s="10" t="s">
        <v>53</v>
      </c>
      <c r="D265" s="10" t="s">
        <v>59</v>
      </c>
      <c r="E265" s="10">
        <v>1</v>
      </c>
      <c r="F265" s="10" t="s">
        <v>3</v>
      </c>
      <c r="G265" s="10">
        <v>1</v>
      </c>
      <c r="H265" s="10" t="s">
        <v>59</v>
      </c>
      <c r="I265" s="10">
        <v>0</v>
      </c>
      <c r="K265" s="2">
        <v>0.5</v>
      </c>
      <c r="L265" s="13">
        <f t="shared" ref="L265:L519" si="4">SUM(E257:E265)/9</f>
        <v>0.44444444444444442</v>
      </c>
      <c r="M265" s="13">
        <f>N265/Sheet1!$B265</f>
        <v>0.51893939393939392</v>
      </c>
      <c r="N265" s="2">
        <f t="shared" si="3"/>
        <v>137</v>
      </c>
      <c r="O265" s="2">
        <f>IF(Sheet1!$H265="ted",1,0)</f>
        <v>0</v>
      </c>
    </row>
    <row r="266" spans="1:15" ht="15.75" customHeight="1" x14ac:dyDescent="0.2">
      <c r="A266" s="11">
        <v>43626</v>
      </c>
      <c r="B266" s="12">
        <f t="shared" si="2"/>
        <v>265</v>
      </c>
      <c r="C266" s="10" t="s">
        <v>53</v>
      </c>
      <c r="D266" s="10" t="s">
        <v>59</v>
      </c>
      <c r="E266" s="10">
        <v>0</v>
      </c>
      <c r="F266" s="10" t="s">
        <v>3</v>
      </c>
      <c r="G266" s="10">
        <v>0</v>
      </c>
      <c r="H266" s="10" t="s">
        <v>8</v>
      </c>
      <c r="I266" s="10">
        <v>0</v>
      </c>
      <c r="K266" s="2">
        <v>0.5</v>
      </c>
      <c r="L266" s="13">
        <f t="shared" si="4"/>
        <v>0.44444444444444442</v>
      </c>
      <c r="M266" s="13">
        <f>N266/Sheet1!$B266</f>
        <v>0.51698113207547169</v>
      </c>
      <c r="N266" s="2">
        <f t="shared" si="3"/>
        <v>137</v>
      </c>
      <c r="O266" s="2">
        <f>IF(Sheet1!$H266="ted",1,0)</f>
        <v>1</v>
      </c>
    </row>
    <row r="267" spans="1:15" ht="15.75" customHeight="1" x14ac:dyDescent="0.2">
      <c r="A267" s="11">
        <v>43653</v>
      </c>
      <c r="B267" s="12">
        <f t="shared" si="2"/>
        <v>266</v>
      </c>
      <c r="C267" s="10" t="s">
        <v>53</v>
      </c>
      <c r="D267" s="10" t="s">
        <v>7</v>
      </c>
      <c r="E267" s="10">
        <v>1</v>
      </c>
      <c r="F267" s="10" t="s">
        <v>3</v>
      </c>
      <c r="G267" s="10">
        <v>1</v>
      </c>
      <c r="H267" s="10" t="s">
        <v>7</v>
      </c>
      <c r="I267" s="10">
        <v>0</v>
      </c>
      <c r="K267" s="2">
        <v>0.5</v>
      </c>
      <c r="L267" s="13">
        <f t="shared" si="4"/>
        <v>0.44444444444444442</v>
      </c>
      <c r="M267" s="13">
        <f>N267/Sheet1!$B267</f>
        <v>0.51879699248120303</v>
      </c>
      <c r="N267" s="2">
        <f t="shared" si="3"/>
        <v>138</v>
      </c>
      <c r="O267" s="2">
        <f>IF(Sheet1!$H267="ted",1,0)</f>
        <v>0</v>
      </c>
    </row>
    <row r="268" spans="1:15" ht="15.75" customHeight="1" x14ac:dyDescent="0.2">
      <c r="A268" s="11">
        <v>43653</v>
      </c>
      <c r="B268" s="12">
        <f t="shared" si="2"/>
        <v>267</v>
      </c>
      <c r="C268" s="10" t="s">
        <v>53</v>
      </c>
      <c r="D268" s="10" t="s">
        <v>7</v>
      </c>
      <c r="E268" s="10">
        <v>0</v>
      </c>
      <c r="F268" s="10" t="s">
        <v>3</v>
      </c>
      <c r="G268" s="10">
        <v>3</v>
      </c>
      <c r="H268" s="10" t="s">
        <v>8</v>
      </c>
      <c r="I268" s="10">
        <v>0</v>
      </c>
      <c r="K268" s="2">
        <v>0.5</v>
      </c>
      <c r="L268" s="13">
        <f t="shared" si="4"/>
        <v>0.44444444444444442</v>
      </c>
      <c r="M268" s="13">
        <f>N268/Sheet1!$B268</f>
        <v>0.5168539325842697</v>
      </c>
      <c r="N268" s="2">
        <f t="shared" si="3"/>
        <v>138</v>
      </c>
      <c r="O268" s="2">
        <f>IF(Sheet1!$H268="ted",1,0)</f>
        <v>1</v>
      </c>
    </row>
    <row r="269" spans="1:15" ht="15.75" customHeight="1" x14ac:dyDescent="0.2">
      <c r="A269" s="11">
        <v>43653</v>
      </c>
      <c r="B269" s="12">
        <f t="shared" si="2"/>
        <v>268</v>
      </c>
      <c r="C269" s="10" t="s">
        <v>53</v>
      </c>
      <c r="D269" s="10" t="s">
        <v>7</v>
      </c>
      <c r="E269" s="10">
        <v>0</v>
      </c>
      <c r="F269" s="10" t="s">
        <v>3</v>
      </c>
      <c r="G269" s="10">
        <v>1</v>
      </c>
      <c r="H269" s="10" t="s">
        <v>7</v>
      </c>
      <c r="I269" s="10">
        <v>0</v>
      </c>
      <c r="K269" s="2">
        <v>0.5</v>
      </c>
      <c r="L269" s="13">
        <f t="shared" si="4"/>
        <v>0.44444444444444442</v>
      </c>
      <c r="M269" s="13">
        <f>N269/Sheet1!$B269</f>
        <v>0.5149253731343284</v>
      </c>
      <c r="N269" s="2">
        <f t="shared" si="3"/>
        <v>138</v>
      </c>
      <c r="O269" s="2">
        <f>IF(Sheet1!$H269="ted",1,0)</f>
        <v>0</v>
      </c>
    </row>
    <row r="270" spans="1:15" ht="15.75" customHeight="1" x14ac:dyDescent="0.2">
      <c r="A270" s="11">
        <v>43666</v>
      </c>
      <c r="B270" s="12">
        <f t="shared" si="2"/>
        <v>269</v>
      </c>
      <c r="C270" s="10" t="s">
        <v>53</v>
      </c>
      <c r="D270" s="10" t="s">
        <v>7</v>
      </c>
      <c r="E270" s="10">
        <v>1</v>
      </c>
      <c r="F270" s="10" t="s">
        <v>2</v>
      </c>
      <c r="G270" s="10">
        <v>1</v>
      </c>
      <c r="H270" s="10" t="s">
        <v>8</v>
      </c>
      <c r="I270" s="10">
        <v>0</v>
      </c>
      <c r="K270" s="2">
        <v>0.5</v>
      </c>
      <c r="L270" s="13">
        <f t="shared" si="4"/>
        <v>0.55555555555555558</v>
      </c>
      <c r="M270" s="13">
        <f>N270/Sheet1!$B270</f>
        <v>0.51672862453531598</v>
      </c>
      <c r="N270" s="2">
        <f t="shared" si="3"/>
        <v>139</v>
      </c>
      <c r="O270" s="2">
        <f>IF(Sheet1!$H270="ted",1,0)</f>
        <v>1</v>
      </c>
    </row>
    <row r="271" spans="1:15" ht="15.75" customHeight="1" x14ac:dyDescent="0.2">
      <c r="A271" s="11">
        <v>43666</v>
      </c>
      <c r="B271" s="12">
        <f t="shared" si="2"/>
        <v>270</v>
      </c>
      <c r="C271" s="10" t="s">
        <v>53</v>
      </c>
      <c r="D271" s="10" t="s">
        <v>7</v>
      </c>
      <c r="E271" s="10">
        <v>1</v>
      </c>
      <c r="F271" s="10" t="s">
        <v>3</v>
      </c>
      <c r="G271" s="10">
        <v>1</v>
      </c>
      <c r="H271" s="10" t="s">
        <v>7</v>
      </c>
      <c r="I271" s="10">
        <v>0</v>
      </c>
      <c r="K271" s="2">
        <v>0.5</v>
      </c>
      <c r="L271" s="13">
        <f t="shared" si="4"/>
        <v>0.55555555555555558</v>
      </c>
      <c r="M271" s="13">
        <f>N271/Sheet1!$B271</f>
        <v>0.51851851851851849</v>
      </c>
      <c r="N271" s="2">
        <f t="shared" si="3"/>
        <v>140</v>
      </c>
      <c r="O271" s="2">
        <f>IF(Sheet1!$H271="ted",1,0)</f>
        <v>0</v>
      </c>
    </row>
    <row r="272" spans="1:15" ht="15.75" customHeight="1" x14ac:dyDescent="0.2">
      <c r="A272" s="11">
        <v>43666</v>
      </c>
      <c r="B272" s="12">
        <f t="shared" si="2"/>
        <v>271</v>
      </c>
      <c r="C272" s="10" t="s">
        <v>53</v>
      </c>
      <c r="D272" s="10" t="s">
        <v>7</v>
      </c>
      <c r="E272" s="10">
        <v>1</v>
      </c>
      <c r="F272" s="10" t="s">
        <v>3</v>
      </c>
      <c r="G272" s="10">
        <v>1</v>
      </c>
      <c r="H272" s="10" t="s">
        <v>8</v>
      </c>
      <c r="I272" s="10">
        <v>0</v>
      </c>
      <c r="K272" s="2">
        <v>0.5</v>
      </c>
      <c r="L272" s="13">
        <f t="shared" si="4"/>
        <v>0.66666666666666663</v>
      </c>
      <c r="M272" s="13">
        <f>N272/Sheet1!$B272</f>
        <v>0.52029520295202947</v>
      </c>
      <c r="N272" s="2">
        <f t="shared" si="3"/>
        <v>141</v>
      </c>
      <c r="O272" s="2">
        <f>IF(Sheet1!$H272="ted",1,0)</f>
        <v>1</v>
      </c>
    </row>
    <row r="273" spans="1:15" ht="15.75" customHeight="1" x14ac:dyDescent="0.2">
      <c r="A273" s="11">
        <v>43666</v>
      </c>
      <c r="B273" s="12">
        <f t="shared" si="2"/>
        <v>272</v>
      </c>
      <c r="C273" s="10" t="s">
        <v>53</v>
      </c>
      <c r="D273" s="10" t="s">
        <v>7</v>
      </c>
      <c r="E273" s="10">
        <v>1</v>
      </c>
      <c r="F273" s="10" t="s">
        <v>3</v>
      </c>
      <c r="G273" s="10">
        <v>0</v>
      </c>
      <c r="H273" s="10" t="s">
        <v>7</v>
      </c>
      <c r="I273" s="10">
        <v>0</v>
      </c>
      <c r="K273" s="2">
        <v>0.5</v>
      </c>
      <c r="L273" s="13">
        <f t="shared" si="4"/>
        <v>0.66666666666666663</v>
      </c>
      <c r="M273" s="13">
        <f>N273/Sheet1!$B273</f>
        <v>0.5220588235294118</v>
      </c>
      <c r="N273" s="2">
        <f t="shared" si="3"/>
        <v>142</v>
      </c>
      <c r="O273" s="2">
        <f>IF(Sheet1!$H273="ted",1,0)</f>
        <v>0</v>
      </c>
    </row>
    <row r="274" spans="1:15" ht="15.75" customHeight="1" x14ac:dyDescent="0.2">
      <c r="A274" s="11">
        <v>43666</v>
      </c>
      <c r="B274" s="12">
        <f t="shared" si="2"/>
        <v>273</v>
      </c>
      <c r="C274" s="10" t="s">
        <v>53</v>
      </c>
      <c r="D274" s="10" t="s">
        <v>7</v>
      </c>
      <c r="E274" s="10">
        <v>0</v>
      </c>
      <c r="F274" s="10" t="s">
        <v>3</v>
      </c>
      <c r="G274" s="10">
        <v>1</v>
      </c>
      <c r="H274" s="10" t="s">
        <v>8</v>
      </c>
      <c r="I274" s="10">
        <v>0</v>
      </c>
      <c r="K274" s="2">
        <v>0.5</v>
      </c>
      <c r="L274" s="13">
        <f t="shared" si="4"/>
        <v>0.55555555555555558</v>
      </c>
      <c r="M274" s="13">
        <f>N274/Sheet1!$B274</f>
        <v>0.52014652014652019</v>
      </c>
      <c r="N274" s="2">
        <f t="shared" si="3"/>
        <v>142</v>
      </c>
      <c r="O274" s="2">
        <f>IF(Sheet1!$H274="ted",1,0)</f>
        <v>1</v>
      </c>
    </row>
    <row r="275" spans="1:15" ht="15.75" customHeight="1" x14ac:dyDescent="0.2">
      <c r="A275" s="11">
        <v>43666</v>
      </c>
      <c r="B275" s="12">
        <f t="shared" si="2"/>
        <v>274</v>
      </c>
      <c r="C275" s="10" t="s">
        <v>53</v>
      </c>
      <c r="D275" s="10" t="s">
        <v>7</v>
      </c>
      <c r="E275" s="10">
        <v>1</v>
      </c>
      <c r="F275" s="10" t="s">
        <v>2</v>
      </c>
      <c r="G275" s="10">
        <v>2</v>
      </c>
      <c r="H275" s="10" t="s">
        <v>8</v>
      </c>
      <c r="I275" s="10">
        <v>2</v>
      </c>
      <c r="K275" s="2">
        <v>0.5</v>
      </c>
      <c r="L275" s="13">
        <f t="shared" si="4"/>
        <v>0.66666666666666663</v>
      </c>
      <c r="M275" s="13">
        <f>N275/Sheet1!$B275</f>
        <v>0.52189781021897808</v>
      </c>
      <c r="N275" s="2">
        <f t="shared" si="3"/>
        <v>143</v>
      </c>
      <c r="O275" s="2">
        <f>IF(Sheet1!$H275="ted",1,0)</f>
        <v>1</v>
      </c>
    </row>
    <row r="276" spans="1:15" ht="15.75" customHeight="1" x14ac:dyDescent="0.2">
      <c r="A276" s="11">
        <v>43685</v>
      </c>
      <c r="B276" s="12">
        <f t="shared" si="2"/>
        <v>275</v>
      </c>
      <c r="C276" s="10" t="s">
        <v>53</v>
      </c>
      <c r="D276" s="10" t="s">
        <v>7</v>
      </c>
      <c r="E276" s="10">
        <v>1</v>
      </c>
      <c r="F276" s="10" t="s">
        <v>3</v>
      </c>
      <c r="G276" s="10">
        <v>1</v>
      </c>
      <c r="H276" s="10" t="s">
        <v>7</v>
      </c>
      <c r="I276" s="10">
        <v>0</v>
      </c>
      <c r="K276" s="2">
        <v>0.5</v>
      </c>
      <c r="L276" s="13">
        <f t="shared" si="4"/>
        <v>0.66666666666666663</v>
      </c>
      <c r="M276" s="13">
        <f>N276/Sheet1!$B276</f>
        <v>0.52363636363636368</v>
      </c>
      <c r="N276" s="2">
        <f t="shared" si="3"/>
        <v>144</v>
      </c>
      <c r="O276" s="2">
        <f>IF(Sheet1!$H276="ted",1,0)</f>
        <v>0</v>
      </c>
    </row>
    <row r="277" spans="1:15" ht="15.75" customHeight="1" x14ac:dyDescent="0.2">
      <c r="A277" s="11">
        <v>43685</v>
      </c>
      <c r="B277" s="12">
        <f t="shared" si="2"/>
        <v>276</v>
      </c>
      <c r="C277" s="10" t="s">
        <v>53</v>
      </c>
      <c r="D277" s="10" t="s">
        <v>7</v>
      </c>
      <c r="E277" s="10">
        <v>0</v>
      </c>
      <c r="F277" s="10" t="s">
        <v>3</v>
      </c>
      <c r="G277" s="10">
        <v>0</v>
      </c>
      <c r="H277" s="10" t="s">
        <v>8</v>
      </c>
      <c r="I277" s="10">
        <v>0</v>
      </c>
      <c r="K277" s="2">
        <v>0.5</v>
      </c>
      <c r="L277" s="13">
        <f t="shared" si="4"/>
        <v>0.66666666666666663</v>
      </c>
      <c r="M277" s="13">
        <f>N277/Sheet1!$B277</f>
        <v>0.52173913043478259</v>
      </c>
      <c r="N277" s="2">
        <f t="shared" si="3"/>
        <v>144</v>
      </c>
      <c r="O277" s="2">
        <f>IF(Sheet1!$H277="ted",1,0)</f>
        <v>1</v>
      </c>
    </row>
    <row r="278" spans="1:15" ht="15.75" customHeight="1" x14ac:dyDescent="0.2">
      <c r="A278" s="11">
        <v>43685</v>
      </c>
      <c r="B278" s="12">
        <f t="shared" si="2"/>
        <v>277</v>
      </c>
      <c r="C278" s="10" t="s">
        <v>53</v>
      </c>
      <c r="D278" s="10" t="s">
        <v>7</v>
      </c>
      <c r="E278" s="10">
        <v>1</v>
      </c>
      <c r="F278" s="10" t="s">
        <v>3</v>
      </c>
      <c r="G278" s="10">
        <v>0</v>
      </c>
      <c r="H278" s="10" t="s">
        <v>7</v>
      </c>
      <c r="I278" s="10">
        <v>0</v>
      </c>
      <c r="K278" s="2">
        <v>0.5</v>
      </c>
      <c r="L278" s="13">
        <f t="shared" si="4"/>
        <v>0.77777777777777779</v>
      </c>
      <c r="M278" s="13">
        <f>N278/Sheet1!$B278</f>
        <v>0.52346570397111913</v>
      </c>
      <c r="N278" s="2">
        <f t="shared" si="3"/>
        <v>145</v>
      </c>
      <c r="O278" s="2">
        <f>IF(Sheet1!$H278="ted",1,0)</f>
        <v>0</v>
      </c>
    </row>
    <row r="279" spans="1:15" ht="15.75" customHeight="1" x14ac:dyDescent="0.2">
      <c r="A279" s="11">
        <v>43719</v>
      </c>
      <c r="B279" s="12">
        <f t="shared" si="2"/>
        <v>278</v>
      </c>
      <c r="C279" s="10" t="s">
        <v>79</v>
      </c>
      <c r="D279" s="10" t="s">
        <v>59</v>
      </c>
      <c r="E279" s="10">
        <v>1</v>
      </c>
      <c r="F279" s="10" t="s">
        <v>3</v>
      </c>
      <c r="G279" s="10">
        <v>4</v>
      </c>
      <c r="H279" s="10" t="s">
        <v>8</v>
      </c>
      <c r="I279" s="10">
        <v>0</v>
      </c>
      <c r="K279" s="2">
        <v>0.5</v>
      </c>
      <c r="L279" s="13">
        <f t="shared" si="4"/>
        <v>0.77777777777777779</v>
      </c>
      <c r="M279" s="13">
        <f>N279/Sheet1!$B279</f>
        <v>0.52517985611510787</v>
      </c>
      <c r="N279" s="2">
        <f t="shared" si="3"/>
        <v>146</v>
      </c>
      <c r="O279" s="2">
        <f>IF(Sheet1!$H279="ted",1,0)</f>
        <v>1</v>
      </c>
    </row>
    <row r="280" spans="1:15" ht="15.75" customHeight="1" x14ac:dyDescent="0.2">
      <c r="A280" s="11">
        <v>43719</v>
      </c>
      <c r="B280" s="12">
        <f t="shared" si="2"/>
        <v>279</v>
      </c>
      <c r="C280" s="10" t="s">
        <v>79</v>
      </c>
      <c r="D280" s="10" t="s">
        <v>59</v>
      </c>
      <c r="E280" s="10">
        <v>0</v>
      </c>
      <c r="F280" s="10" t="s">
        <v>2</v>
      </c>
      <c r="G280" s="10">
        <v>4</v>
      </c>
      <c r="H280" s="10" t="s">
        <v>59</v>
      </c>
      <c r="I280" s="10">
        <v>3</v>
      </c>
      <c r="K280" s="2">
        <v>0.5</v>
      </c>
      <c r="L280" s="13">
        <f t="shared" si="4"/>
        <v>0.66666666666666663</v>
      </c>
      <c r="M280" s="13">
        <f>N280/Sheet1!$B280</f>
        <v>0.52329749103942658</v>
      </c>
      <c r="N280" s="2">
        <f t="shared" si="3"/>
        <v>146</v>
      </c>
      <c r="O280" s="2">
        <f>IF(Sheet1!$H280="ted",1,0)</f>
        <v>0</v>
      </c>
    </row>
    <row r="281" spans="1:15" ht="15.75" customHeight="1" x14ac:dyDescent="0.2">
      <c r="A281" s="11">
        <v>43719</v>
      </c>
      <c r="B281" s="12">
        <f t="shared" si="2"/>
        <v>280</v>
      </c>
      <c r="C281" s="10" t="s">
        <v>79</v>
      </c>
      <c r="D281" s="10" t="s">
        <v>59</v>
      </c>
      <c r="E281" s="10">
        <v>1</v>
      </c>
      <c r="F281" s="10" t="s">
        <v>3</v>
      </c>
      <c r="G281" s="10">
        <v>1</v>
      </c>
      <c r="H281" s="10" t="s">
        <v>8</v>
      </c>
      <c r="I281" s="10">
        <v>0</v>
      </c>
      <c r="K281" s="2">
        <v>0.5</v>
      </c>
      <c r="L281" s="13">
        <f t="shared" si="4"/>
        <v>0.66666666666666663</v>
      </c>
      <c r="M281" s="13">
        <f>N281/Sheet1!$B281</f>
        <v>0.52500000000000002</v>
      </c>
      <c r="N281" s="2">
        <f t="shared" si="3"/>
        <v>147</v>
      </c>
      <c r="O281" s="2">
        <f>IF(Sheet1!$H281="ted",1,0)</f>
        <v>1</v>
      </c>
    </row>
    <row r="282" spans="1:15" ht="15.75" customHeight="1" x14ac:dyDescent="0.2">
      <c r="A282" s="11">
        <v>43760</v>
      </c>
      <c r="B282" s="12">
        <f t="shared" si="2"/>
        <v>281</v>
      </c>
      <c r="C282" s="10" t="s">
        <v>79</v>
      </c>
      <c r="D282" s="10" t="s">
        <v>59</v>
      </c>
      <c r="E282" s="10">
        <v>1</v>
      </c>
      <c r="F282" s="10" t="s">
        <v>3</v>
      </c>
      <c r="G282" s="10">
        <v>3</v>
      </c>
      <c r="H282" s="10" t="s">
        <v>8</v>
      </c>
      <c r="I282" s="10">
        <v>0</v>
      </c>
      <c r="K282" s="2">
        <v>0.5</v>
      </c>
      <c r="L282" s="13">
        <f t="shared" si="4"/>
        <v>0.66666666666666663</v>
      </c>
      <c r="M282" s="13">
        <f>N282/Sheet1!$B282</f>
        <v>0.5266903914590747</v>
      </c>
      <c r="N282" s="2">
        <f t="shared" si="3"/>
        <v>148</v>
      </c>
      <c r="O282" s="2">
        <f>IF(Sheet1!$H282="ted",1,0)</f>
        <v>1</v>
      </c>
    </row>
    <row r="283" spans="1:15" ht="15.75" customHeight="1" x14ac:dyDescent="0.2">
      <c r="A283" s="11">
        <v>43760</v>
      </c>
      <c r="B283" s="12">
        <f t="shared" si="2"/>
        <v>282</v>
      </c>
      <c r="C283" s="10" t="s">
        <v>79</v>
      </c>
      <c r="D283" s="10" t="s">
        <v>59</v>
      </c>
      <c r="E283" s="10">
        <v>0</v>
      </c>
      <c r="F283" s="10" t="s">
        <v>3</v>
      </c>
      <c r="G283" s="10">
        <v>0</v>
      </c>
      <c r="H283" s="10" t="s">
        <v>59</v>
      </c>
      <c r="I283" s="10">
        <v>0</v>
      </c>
      <c r="K283" s="2">
        <v>0.5</v>
      </c>
      <c r="L283" s="13">
        <f t="shared" si="4"/>
        <v>0.66666666666666663</v>
      </c>
      <c r="M283" s="13">
        <f>N283/Sheet1!$B283</f>
        <v>0.52482269503546097</v>
      </c>
      <c r="N283" s="2">
        <f t="shared" si="3"/>
        <v>148</v>
      </c>
      <c r="O283" s="2">
        <f>IF(Sheet1!$H283="ted",1,0)</f>
        <v>0</v>
      </c>
    </row>
    <row r="284" spans="1:15" ht="15.75" customHeight="1" x14ac:dyDescent="0.2">
      <c r="A284" s="11">
        <v>43760</v>
      </c>
      <c r="B284" s="12">
        <f t="shared" si="2"/>
        <v>283</v>
      </c>
      <c r="C284" s="10" t="s">
        <v>79</v>
      </c>
      <c r="D284" s="10" t="s">
        <v>59</v>
      </c>
      <c r="E284" s="10">
        <v>1</v>
      </c>
      <c r="F284" s="10" t="s">
        <v>3</v>
      </c>
      <c r="G284" s="10">
        <v>0</v>
      </c>
      <c r="H284" s="10" t="s">
        <v>8</v>
      </c>
      <c r="I284" s="10"/>
      <c r="K284" s="2">
        <v>0.5</v>
      </c>
      <c r="L284" s="13">
        <f t="shared" si="4"/>
        <v>0.66666666666666663</v>
      </c>
      <c r="M284" s="13">
        <f>N284/Sheet1!$B284</f>
        <v>0.52650176678445226</v>
      </c>
      <c r="N284" s="2">
        <f t="shared" si="3"/>
        <v>149</v>
      </c>
      <c r="O284" s="2">
        <f>IF(Sheet1!$H284="ted",1,0)</f>
        <v>1</v>
      </c>
    </row>
    <row r="285" spans="1:15" ht="15.75" customHeight="1" x14ac:dyDescent="0.2">
      <c r="A285" s="11">
        <v>43767</v>
      </c>
      <c r="B285" s="12">
        <f t="shared" si="2"/>
        <v>284</v>
      </c>
      <c r="C285" s="10" t="s">
        <v>80</v>
      </c>
      <c r="D285" s="10" t="s">
        <v>59</v>
      </c>
      <c r="E285" s="10">
        <v>0</v>
      </c>
      <c r="F285" s="10" t="s">
        <v>3</v>
      </c>
      <c r="G285" s="10">
        <v>0</v>
      </c>
      <c r="H285" s="10" t="s">
        <v>59</v>
      </c>
      <c r="I285" s="10">
        <v>0</v>
      </c>
      <c r="K285" s="2">
        <v>0.5</v>
      </c>
      <c r="L285" s="13">
        <f t="shared" si="4"/>
        <v>0.55555555555555558</v>
      </c>
      <c r="M285" s="13">
        <f>N285/Sheet1!$B285</f>
        <v>0.52464788732394363</v>
      </c>
      <c r="N285" s="2">
        <f t="shared" si="3"/>
        <v>149</v>
      </c>
      <c r="O285" s="2">
        <f>IF(Sheet1!$H285="ted",1,0)</f>
        <v>0</v>
      </c>
    </row>
    <row r="286" spans="1:15" ht="15.75" customHeight="1" x14ac:dyDescent="0.2">
      <c r="A286" s="11">
        <v>43767</v>
      </c>
      <c r="B286" s="12">
        <f t="shared" si="2"/>
        <v>285</v>
      </c>
      <c r="C286" s="10" t="s">
        <v>80</v>
      </c>
      <c r="D286" s="10" t="s">
        <v>59</v>
      </c>
      <c r="E286" s="10">
        <v>0</v>
      </c>
      <c r="F286" s="10" t="s">
        <v>3</v>
      </c>
      <c r="G286" s="10">
        <v>1</v>
      </c>
      <c r="H286" s="10" t="s">
        <v>8</v>
      </c>
      <c r="I286" s="10">
        <v>0</v>
      </c>
      <c r="K286" s="2">
        <v>0.5</v>
      </c>
      <c r="L286" s="13">
        <f t="shared" si="4"/>
        <v>0.55555555555555558</v>
      </c>
      <c r="M286" s="13">
        <f>N286/Sheet1!$B286</f>
        <v>0.52280701754385961</v>
      </c>
      <c r="N286" s="2">
        <f t="shared" si="3"/>
        <v>149</v>
      </c>
      <c r="O286" s="2">
        <f>IF(Sheet1!$H286="ted",1,0)</f>
        <v>1</v>
      </c>
    </row>
    <row r="287" spans="1:15" ht="15.75" customHeight="1" x14ac:dyDescent="0.2">
      <c r="A287" s="11">
        <v>43767</v>
      </c>
      <c r="B287" s="12">
        <f t="shared" si="2"/>
        <v>286</v>
      </c>
      <c r="C287" s="10" t="s">
        <v>80</v>
      </c>
      <c r="D287" s="10" t="s">
        <v>59</v>
      </c>
      <c r="E287" s="10">
        <v>1</v>
      </c>
      <c r="F287" s="10" t="s">
        <v>3</v>
      </c>
      <c r="G287" s="10">
        <v>2</v>
      </c>
      <c r="H287" s="10" t="s">
        <v>59</v>
      </c>
      <c r="I287" s="10">
        <v>0</v>
      </c>
      <c r="K287" s="2">
        <v>0.5</v>
      </c>
      <c r="L287" s="13">
        <f t="shared" si="4"/>
        <v>0.55555555555555558</v>
      </c>
      <c r="M287" s="13">
        <f>N287/Sheet1!$B287</f>
        <v>0.52447552447552448</v>
      </c>
      <c r="N287" s="2">
        <f t="shared" si="3"/>
        <v>150</v>
      </c>
      <c r="O287" s="2">
        <f>IF(Sheet1!$H287="ted",1,0)</f>
        <v>0</v>
      </c>
    </row>
    <row r="288" spans="1:15" ht="15.75" customHeight="1" x14ac:dyDescent="0.2">
      <c r="A288" s="11">
        <v>43767</v>
      </c>
      <c r="B288" s="12">
        <f t="shared" si="2"/>
        <v>287</v>
      </c>
      <c r="C288" s="10" t="s">
        <v>80</v>
      </c>
      <c r="D288" s="10" t="s">
        <v>59</v>
      </c>
      <c r="E288" s="10">
        <v>1</v>
      </c>
      <c r="F288" s="10" t="s">
        <v>3</v>
      </c>
      <c r="G288" s="10">
        <v>3</v>
      </c>
      <c r="H288" s="10" t="s">
        <v>8</v>
      </c>
      <c r="I288" s="10">
        <v>0</v>
      </c>
      <c r="K288" s="2">
        <v>0.5</v>
      </c>
      <c r="L288" s="13">
        <f t="shared" si="4"/>
        <v>0.55555555555555558</v>
      </c>
      <c r="M288" s="13">
        <f>N288/Sheet1!$B288</f>
        <v>0.52613240418118468</v>
      </c>
      <c r="N288" s="2">
        <f t="shared" si="3"/>
        <v>151</v>
      </c>
      <c r="O288" s="2">
        <f>IF(Sheet1!$H288="ted",1,0)</f>
        <v>1</v>
      </c>
    </row>
    <row r="289" spans="1:15" ht="15.75" customHeight="1" x14ac:dyDescent="0.2">
      <c r="A289" s="11">
        <v>43767</v>
      </c>
      <c r="B289" s="12">
        <f t="shared" si="2"/>
        <v>288</v>
      </c>
      <c r="C289" s="10" t="s">
        <v>80</v>
      </c>
      <c r="D289" s="10" t="s">
        <v>59</v>
      </c>
      <c r="E289" s="10">
        <v>1</v>
      </c>
      <c r="F289" s="10" t="s">
        <v>3</v>
      </c>
      <c r="G289" s="10">
        <v>5</v>
      </c>
      <c r="H289" s="10" t="s">
        <v>59</v>
      </c>
      <c r="I289" s="10">
        <v>0</v>
      </c>
      <c r="K289" s="2">
        <v>0.5</v>
      </c>
      <c r="L289" s="13">
        <f t="shared" si="4"/>
        <v>0.66666666666666663</v>
      </c>
      <c r="M289" s="13">
        <f>N289/Sheet1!$B289</f>
        <v>0.52777777777777779</v>
      </c>
      <c r="N289" s="2">
        <f t="shared" si="3"/>
        <v>152</v>
      </c>
      <c r="O289" s="2">
        <f>IF(Sheet1!$H289="ted",1,0)</f>
        <v>0</v>
      </c>
    </row>
    <row r="290" spans="1:15" ht="15.75" customHeight="1" x14ac:dyDescent="0.2">
      <c r="A290" s="11">
        <v>43767</v>
      </c>
      <c r="B290" s="12">
        <f t="shared" si="2"/>
        <v>289</v>
      </c>
      <c r="C290" s="10" t="s">
        <v>80</v>
      </c>
      <c r="D290" s="10" t="s">
        <v>59</v>
      </c>
      <c r="E290" s="10">
        <v>1</v>
      </c>
      <c r="F290" s="10" t="s">
        <v>3</v>
      </c>
      <c r="G290" s="10">
        <v>2</v>
      </c>
      <c r="H290" s="10" t="s">
        <v>8</v>
      </c>
      <c r="I290" s="10">
        <v>0</v>
      </c>
      <c r="K290" s="2">
        <v>0.5</v>
      </c>
      <c r="L290" s="13">
        <f t="shared" si="4"/>
        <v>0.66666666666666663</v>
      </c>
      <c r="M290" s="13">
        <f>N290/Sheet1!$B290</f>
        <v>0.52941176470588236</v>
      </c>
      <c r="N290" s="2">
        <f t="shared" si="3"/>
        <v>153</v>
      </c>
      <c r="O290" s="2">
        <f>IF(Sheet1!$H290="ted",1,0)</f>
        <v>1</v>
      </c>
    </row>
    <row r="291" spans="1:15" ht="15.75" customHeight="1" x14ac:dyDescent="0.2">
      <c r="A291" s="14">
        <v>43770</v>
      </c>
      <c r="B291" s="12">
        <f t="shared" si="2"/>
        <v>290</v>
      </c>
      <c r="C291" s="10" t="s">
        <v>80</v>
      </c>
      <c r="D291" s="10" t="s">
        <v>7</v>
      </c>
      <c r="E291" s="10">
        <v>0</v>
      </c>
      <c r="F291" s="10" t="s">
        <v>3</v>
      </c>
      <c r="G291" s="10">
        <v>4</v>
      </c>
      <c r="H291" s="10" t="s">
        <v>7</v>
      </c>
      <c r="I291" s="10">
        <v>0</v>
      </c>
      <c r="K291" s="2">
        <v>0.5</v>
      </c>
      <c r="L291" s="13">
        <f t="shared" si="4"/>
        <v>0.55555555555555558</v>
      </c>
      <c r="M291" s="13">
        <f>N291/Sheet1!$B291</f>
        <v>0.52758620689655178</v>
      </c>
      <c r="N291" s="2">
        <f t="shared" si="3"/>
        <v>153</v>
      </c>
      <c r="O291" s="2">
        <f>IF(Sheet1!$H291="ted",1,0)</f>
        <v>0</v>
      </c>
    </row>
    <row r="292" spans="1:15" ht="15.75" customHeight="1" x14ac:dyDescent="0.2">
      <c r="A292" s="11">
        <v>43770</v>
      </c>
      <c r="B292" s="12">
        <f t="shared" si="2"/>
        <v>291</v>
      </c>
      <c r="C292" s="10" t="s">
        <v>80</v>
      </c>
      <c r="D292" s="10" t="s">
        <v>7</v>
      </c>
      <c r="E292" s="10">
        <v>0</v>
      </c>
      <c r="F292" s="10" t="s">
        <v>3</v>
      </c>
      <c r="G292" s="10">
        <v>2</v>
      </c>
      <c r="H292" s="10" t="s">
        <v>8</v>
      </c>
      <c r="I292" s="10">
        <v>0</v>
      </c>
      <c r="K292" s="2">
        <v>0.5</v>
      </c>
      <c r="L292" s="13">
        <f t="shared" si="4"/>
        <v>0.55555555555555558</v>
      </c>
      <c r="M292" s="13">
        <f>N292/Sheet1!$B292</f>
        <v>0.52577319587628868</v>
      </c>
      <c r="N292" s="2">
        <f t="shared" si="3"/>
        <v>153</v>
      </c>
      <c r="O292" s="2">
        <f>IF(Sheet1!$H292="ted",1,0)</f>
        <v>1</v>
      </c>
    </row>
    <row r="293" spans="1:15" ht="15.75" customHeight="1" x14ac:dyDescent="0.2">
      <c r="A293" s="11">
        <v>43770</v>
      </c>
      <c r="B293" s="12">
        <f t="shared" si="2"/>
        <v>292</v>
      </c>
      <c r="C293" s="10" t="s">
        <v>80</v>
      </c>
      <c r="D293" s="10" t="s">
        <v>7</v>
      </c>
      <c r="E293" s="10">
        <v>1</v>
      </c>
      <c r="F293" s="10" t="s">
        <v>3</v>
      </c>
      <c r="G293" s="10">
        <v>1</v>
      </c>
      <c r="H293" s="10" t="s">
        <v>8</v>
      </c>
      <c r="I293" s="10">
        <v>0</v>
      </c>
      <c r="K293" s="2">
        <v>0.5</v>
      </c>
      <c r="L293" s="13">
        <f t="shared" si="4"/>
        <v>0.55555555555555558</v>
      </c>
      <c r="M293" s="13">
        <f>N293/Sheet1!$B293</f>
        <v>0.5273972602739726</v>
      </c>
      <c r="N293" s="2">
        <f t="shared" si="3"/>
        <v>154</v>
      </c>
      <c r="O293" s="2">
        <f>IF(Sheet1!$H293="ted",1,0)</f>
        <v>1</v>
      </c>
    </row>
    <row r="294" spans="1:15" ht="15.75" customHeight="1" x14ac:dyDescent="0.2">
      <c r="A294" s="11">
        <v>43770</v>
      </c>
      <c r="B294" s="12">
        <f t="shared" si="2"/>
        <v>293</v>
      </c>
      <c r="C294" s="10" t="s">
        <v>80</v>
      </c>
      <c r="D294" s="10" t="s">
        <v>7</v>
      </c>
      <c r="E294" s="10">
        <v>0</v>
      </c>
      <c r="F294" s="10" t="s">
        <v>3</v>
      </c>
      <c r="G294" s="10">
        <v>0</v>
      </c>
      <c r="H294" s="10" t="s">
        <v>7</v>
      </c>
      <c r="I294" s="10">
        <v>0</v>
      </c>
      <c r="K294" s="2">
        <v>0.5</v>
      </c>
      <c r="L294" s="13">
        <f t="shared" si="4"/>
        <v>0.55555555555555558</v>
      </c>
      <c r="M294" s="13">
        <f>N294/Sheet1!$B294</f>
        <v>0.52559726962457343</v>
      </c>
      <c r="N294" s="2">
        <f t="shared" si="3"/>
        <v>154</v>
      </c>
      <c r="O294" s="2">
        <f>IF(Sheet1!$H294="ted",1,0)</f>
        <v>0</v>
      </c>
    </row>
    <row r="295" spans="1:15" ht="15.75" customHeight="1" x14ac:dyDescent="0.2">
      <c r="A295" s="11">
        <v>43770</v>
      </c>
      <c r="B295" s="12">
        <f t="shared" si="2"/>
        <v>294</v>
      </c>
      <c r="C295" s="10" t="s">
        <v>80</v>
      </c>
      <c r="D295" s="10" t="s">
        <v>7</v>
      </c>
      <c r="E295" s="10">
        <v>1</v>
      </c>
      <c r="F295" s="10" t="s">
        <v>3</v>
      </c>
      <c r="G295" s="10">
        <v>1</v>
      </c>
      <c r="H295" s="10" t="s">
        <v>7</v>
      </c>
      <c r="I295" s="10">
        <v>0</v>
      </c>
      <c r="K295" s="2">
        <v>0.5</v>
      </c>
      <c r="L295" s="13">
        <f t="shared" si="4"/>
        <v>0.66666666666666663</v>
      </c>
      <c r="M295" s="13">
        <f>N295/Sheet1!$B295</f>
        <v>0.52721088435374153</v>
      </c>
      <c r="N295" s="2">
        <f t="shared" si="3"/>
        <v>155</v>
      </c>
      <c r="O295" s="2">
        <f>IF(Sheet1!$H295="ted",1,0)</f>
        <v>0</v>
      </c>
    </row>
    <row r="296" spans="1:15" ht="15.75" customHeight="1" x14ac:dyDescent="0.2">
      <c r="A296" s="11">
        <v>43848</v>
      </c>
      <c r="B296" s="12">
        <f t="shared" si="2"/>
        <v>295</v>
      </c>
      <c r="C296" s="10" t="s">
        <v>81</v>
      </c>
      <c r="D296" s="10" t="s">
        <v>7</v>
      </c>
      <c r="E296" s="10">
        <v>1</v>
      </c>
      <c r="F296" s="10" t="s">
        <v>3</v>
      </c>
      <c r="G296" s="10">
        <v>3</v>
      </c>
      <c r="H296" s="10" t="s">
        <v>7</v>
      </c>
      <c r="I296" s="10">
        <v>0</v>
      </c>
      <c r="K296" s="2">
        <v>0.5</v>
      </c>
      <c r="L296" s="13">
        <f t="shared" si="4"/>
        <v>0.66666666666666663</v>
      </c>
      <c r="M296" s="13">
        <f>N296/Sheet1!$B296</f>
        <v>0.52881355932203389</v>
      </c>
      <c r="N296" s="2">
        <f t="shared" si="3"/>
        <v>156</v>
      </c>
      <c r="O296" s="2">
        <f>IF(Sheet1!$H296="ted",1,0)</f>
        <v>0</v>
      </c>
    </row>
    <row r="297" spans="1:15" ht="15.75" customHeight="1" x14ac:dyDescent="0.2">
      <c r="A297" s="11">
        <v>43848</v>
      </c>
      <c r="B297" s="12">
        <f t="shared" si="2"/>
        <v>296</v>
      </c>
      <c r="C297" s="10" t="s">
        <v>81</v>
      </c>
      <c r="D297" s="10" t="s">
        <v>82</v>
      </c>
      <c r="E297" s="10">
        <v>0</v>
      </c>
      <c r="F297" s="10" t="s">
        <v>3</v>
      </c>
      <c r="G297" s="10">
        <v>1</v>
      </c>
      <c r="H297" s="10" t="s">
        <v>83</v>
      </c>
      <c r="I297" s="10">
        <v>0</v>
      </c>
      <c r="K297" s="2">
        <v>0.5</v>
      </c>
      <c r="L297" s="13">
        <f t="shared" si="4"/>
        <v>0.55555555555555558</v>
      </c>
      <c r="M297" s="13">
        <f>N297/Sheet1!$B297</f>
        <v>0.52702702702702697</v>
      </c>
      <c r="N297" s="2">
        <f t="shared" si="3"/>
        <v>156</v>
      </c>
      <c r="O297" s="2">
        <f>IF(Sheet1!$H297="ted",1,0)</f>
        <v>0</v>
      </c>
    </row>
    <row r="298" spans="1:15" ht="15.75" customHeight="1" x14ac:dyDescent="0.2">
      <c r="A298" s="11">
        <v>43848</v>
      </c>
      <c r="B298" s="12">
        <f t="shared" si="2"/>
        <v>297</v>
      </c>
      <c r="C298" s="10" t="s">
        <v>81</v>
      </c>
      <c r="D298" s="10" t="s">
        <v>82</v>
      </c>
      <c r="E298" s="10">
        <v>1</v>
      </c>
      <c r="F298" s="10" t="s">
        <v>3</v>
      </c>
      <c r="G298" s="10">
        <v>0</v>
      </c>
      <c r="H298" s="10" t="s">
        <v>7</v>
      </c>
      <c r="I298" s="10">
        <v>0</v>
      </c>
      <c r="K298" s="2">
        <v>0.5</v>
      </c>
      <c r="L298" s="13">
        <f t="shared" si="4"/>
        <v>0.55555555555555558</v>
      </c>
      <c r="M298" s="13">
        <f>N298/Sheet1!$B298</f>
        <v>0.52861952861952866</v>
      </c>
      <c r="N298" s="2">
        <f t="shared" si="3"/>
        <v>157</v>
      </c>
      <c r="O298" s="2">
        <f>IF(Sheet1!$H298="ted",1,0)</f>
        <v>0</v>
      </c>
    </row>
    <row r="299" spans="1:15" ht="15.75" customHeight="1" x14ac:dyDescent="0.2">
      <c r="A299" s="11">
        <v>43855</v>
      </c>
      <c r="B299" s="12">
        <f t="shared" si="2"/>
        <v>298</v>
      </c>
      <c r="C299" s="10" t="s">
        <v>84</v>
      </c>
      <c r="D299" s="10" t="s">
        <v>85</v>
      </c>
      <c r="E299" s="10">
        <v>1</v>
      </c>
      <c r="F299" s="10" t="s">
        <v>86</v>
      </c>
      <c r="G299" s="10">
        <v>0</v>
      </c>
      <c r="H299" s="10" t="s">
        <v>7</v>
      </c>
      <c r="I299" s="10">
        <v>2</v>
      </c>
      <c r="K299" s="2">
        <v>0.5</v>
      </c>
      <c r="L299" s="13">
        <f t="shared" si="4"/>
        <v>0.55555555555555558</v>
      </c>
      <c r="M299" s="13">
        <f>N299/Sheet1!$B299</f>
        <v>0.53020134228187921</v>
      </c>
      <c r="N299" s="2">
        <f t="shared" si="3"/>
        <v>158</v>
      </c>
      <c r="O299" s="2">
        <f>IF(Sheet1!$H299="ted",1,0)</f>
        <v>0</v>
      </c>
    </row>
    <row r="300" spans="1:15" ht="15.75" customHeight="1" x14ac:dyDescent="0.2">
      <c r="A300" s="11">
        <v>43855</v>
      </c>
      <c r="B300" s="12">
        <f t="shared" si="2"/>
        <v>299</v>
      </c>
      <c r="C300" s="10" t="s">
        <v>84</v>
      </c>
      <c r="D300" s="10" t="s">
        <v>59</v>
      </c>
      <c r="E300" s="10">
        <v>0</v>
      </c>
      <c r="F300" s="10" t="s">
        <v>3</v>
      </c>
      <c r="G300" s="10">
        <v>1</v>
      </c>
      <c r="H300" s="10" t="s">
        <v>8</v>
      </c>
      <c r="I300" s="10">
        <v>0</v>
      </c>
      <c r="K300" s="2">
        <v>0.5</v>
      </c>
      <c r="L300" s="13">
        <f t="shared" si="4"/>
        <v>0.55555555555555558</v>
      </c>
      <c r="M300" s="13">
        <f>N300/Sheet1!$B300</f>
        <v>0.52842809364548493</v>
      </c>
      <c r="N300" s="2">
        <f t="shared" si="3"/>
        <v>158</v>
      </c>
      <c r="O300" s="2">
        <f>IF(Sheet1!$H300="ted",1,0)</f>
        <v>1</v>
      </c>
    </row>
    <row r="301" spans="1:15" ht="15.75" customHeight="1" x14ac:dyDescent="0.2">
      <c r="A301" s="11">
        <v>43855</v>
      </c>
      <c r="B301" s="12">
        <f t="shared" si="2"/>
        <v>300</v>
      </c>
      <c r="C301" s="10" t="s">
        <v>84</v>
      </c>
      <c r="D301" s="10" t="s">
        <v>7</v>
      </c>
      <c r="E301" s="10">
        <v>1</v>
      </c>
      <c r="F301" s="10" t="s">
        <v>3</v>
      </c>
      <c r="G301" s="10">
        <v>4</v>
      </c>
      <c r="H301" s="10" t="s">
        <v>7</v>
      </c>
      <c r="I301" s="10">
        <v>0</v>
      </c>
      <c r="K301" s="2">
        <v>0.5</v>
      </c>
      <c r="L301" s="13">
        <f t="shared" si="4"/>
        <v>0.66666666666666663</v>
      </c>
      <c r="M301" s="13">
        <f>N301/Sheet1!$B301</f>
        <v>0.53</v>
      </c>
      <c r="N301" s="2">
        <f t="shared" si="3"/>
        <v>159</v>
      </c>
      <c r="O301" s="2">
        <f>IF(Sheet1!$H301="ted",1,0)</f>
        <v>0</v>
      </c>
    </row>
    <row r="302" spans="1:15" ht="15.75" customHeight="1" x14ac:dyDescent="0.2">
      <c r="A302" s="11">
        <v>43855</v>
      </c>
      <c r="B302" s="12">
        <f t="shared" si="2"/>
        <v>301</v>
      </c>
      <c r="C302" s="10" t="s">
        <v>84</v>
      </c>
      <c r="D302" s="10" t="s">
        <v>59</v>
      </c>
      <c r="E302" s="10">
        <v>0</v>
      </c>
      <c r="F302" s="10" t="s">
        <v>3</v>
      </c>
      <c r="G302" s="10">
        <v>2</v>
      </c>
      <c r="H302" s="10" t="s">
        <v>8</v>
      </c>
      <c r="I302" s="10">
        <v>0</v>
      </c>
      <c r="K302" s="2">
        <v>0.5</v>
      </c>
      <c r="L302" s="13">
        <f t="shared" si="4"/>
        <v>0.55555555555555558</v>
      </c>
      <c r="M302" s="13">
        <f>N302/Sheet1!$B302</f>
        <v>0.52823920265780733</v>
      </c>
      <c r="N302" s="2">
        <f t="shared" si="3"/>
        <v>159</v>
      </c>
      <c r="O302" s="2">
        <f>IF(Sheet1!$H302="ted",1,0)</f>
        <v>1</v>
      </c>
    </row>
    <row r="303" spans="1:15" ht="15.75" customHeight="1" x14ac:dyDescent="0.2">
      <c r="A303" s="11">
        <v>43855</v>
      </c>
      <c r="B303" s="12">
        <f t="shared" si="2"/>
        <v>302</v>
      </c>
      <c r="C303" s="10" t="s">
        <v>84</v>
      </c>
      <c r="D303" s="10" t="s">
        <v>85</v>
      </c>
      <c r="E303" s="10">
        <v>1</v>
      </c>
      <c r="F303" s="10" t="s">
        <v>86</v>
      </c>
      <c r="G303" s="10">
        <v>0</v>
      </c>
      <c r="H303" s="10" t="s">
        <v>59</v>
      </c>
      <c r="I303" s="10">
        <v>1</v>
      </c>
      <c r="K303" s="2">
        <v>0.5</v>
      </c>
      <c r="L303" s="13">
        <f t="shared" si="4"/>
        <v>0.66666666666666663</v>
      </c>
      <c r="M303" s="13">
        <f>N303/Sheet1!$B303</f>
        <v>0.5298013245033113</v>
      </c>
      <c r="N303" s="2">
        <f t="shared" si="3"/>
        <v>160</v>
      </c>
      <c r="O303" s="2">
        <f>IF(Sheet1!$H303="ted",1,0)</f>
        <v>0</v>
      </c>
    </row>
    <row r="304" spans="1:15" ht="15.75" customHeight="1" x14ac:dyDescent="0.2">
      <c r="A304" s="11">
        <v>43901</v>
      </c>
      <c r="B304" s="12">
        <f t="shared" si="2"/>
        <v>303</v>
      </c>
      <c r="C304" s="10" t="s">
        <v>80</v>
      </c>
      <c r="D304" s="10" t="s">
        <v>59</v>
      </c>
      <c r="E304" s="10">
        <v>0</v>
      </c>
      <c r="F304" s="10" t="s">
        <v>3</v>
      </c>
      <c r="G304" s="10">
        <v>2</v>
      </c>
      <c r="H304" s="10" t="s">
        <v>8</v>
      </c>
      <c r="I304" s="10">
        <v>0</v>
      </c>
      <c r="K304" s="2">
        <v>0.5</v>
      </c>
      <c r="L304" s="13">
        <f t="shared" si="4"/>
        <v>0.55555555555555558</v>
      </c>
      <c r="M304" s="13">
        <f>N304/Sheet1!$B304</f>
        <v>0.528052805280528</v>
      </c>
      <c r="N304" s="2">
        <f t="shared" si="3"/>
        <v>160</v>
      </c>
      <c r="O304" s="2">
        <f>IF(Sheet1!$H304="ted",1,0)</f>
        <v>1</v>
      </c>
    </row>
    <row r="305" spans="1:15" ht="15.75" customHeight="1" x14ac:dyDescent="0.2">
      <c r="A305" s="11">
        <v>43901</v>
      </c>
      <c r="B305" s="12">
        <f t="shared" si="2"/>
        <v>304</v>
      </c>
      <c r="C305" s="10" t="s">
        <v>80</v>
      </c>
      <c r="D305" s="10" t="s">
        <v>59</v>
      </c>
      <c r="E305" s="10">
        <v>0</v>
      </c>
      <c r="F305" s="10" t="s">
        <v>3</v>
      </c>
      <c r="G305" s="10">
        <v>0</v>
      </c>
      <c r="H305" s="10" t="s">
        <v>59</v>
      </c>
      <c r="I305" s="10">
        <v>0</v>
      </c>
      <c r="K305" s="2">
        <v>0.5</v>
      </c>
      <c r="L305" s="13">
        <f t="shared" si="4"/>
        <v>0.44444444444444442</v>
      </c>
      <c r="M305" s="13">
        <f>N305/Sheet1!$B305</f>
        <v>0.52631578947368418</v>
      </c>
      <c r="N305" s="2">
        <f t="shared" si="3"/>
        <v>160</v>
      </c>
      <c r="O305" s="2">
        <f>IF(Sheet1!$H305="ted",1,0)</f>
        <v>0</v>
      </c>
    </row>
    <row r="306" spans="1:15" ht="15.75" customHeight="1" x14ac:dyDescent="0.2">
      <c r="A306" s="11">
        <v>43901</v>
      </c>
      <c r="B306" s="12">
        <f t="shared" si="2"/>
        <v>305</v>
      </c>
      <c r="C306" s="10" t="s">
        <v>80</v>
      </c>
      <c r="D306" s="10" t="s">
        <v>59</v>
      </c>
      <c r="E306" s="10">
        <v>0</v>
      </c>
      <c r="F306" s="10" t="s">
        <v>3</v>
      </c>
      <c r="G306" s="10">
        <v>4</v>
      </c>
      <c r="H306" s="10" t="s">
        <v>8</v>
      </c>
      <c r="I306" s="10">
        <v>0</v>
      </c>
      <c r="K306" s="2">
        <v>0.5</v>
      </c>
      <c r="L306" s="13">
        <f t="shared" si="4"/>
        <v>0.44444444444444442</v>
      </c>
      <c r="M306" s="13">
        <f>N306/Sheet1!$B306</f>
        <v>0.52459016393442626</v>
      </c>
      <c r="N306" s="2">
        <f t="shared" si="3"/>
        <v>160</v>
      </c>
      <c r="O306" s="2">
        <f>IF(Sheet1!$H306="ted",1,0)</f>
        <v>1</v>
      </c>
    </row>
    <row r="307" spans="1:15" ht="15.75" customHeight="1" x14ac:dyDescent="0.2">
      <c r="A307" s="11">
        <v>43926</v>
      </c>
      <c r="B307" s="12">
        <f t="shared" si="2"/>
        <v>306</v>
      </c>
      <c r="C307" s="10" t="s">
        <v>65</v>
      </c>
      <c r="D307" s="10" t="s">
        <v>7</v>
      </c>
      <c r="E307" s="10">
        <v>1</v>
      </c>
      <c r="F307" s="10" t="s">
        <v>3</v>
      </c>
      <c r="G307" s="10">
        <v>0</v>
      </c>
      <c r="H307" s="10" t="s">
        <v>8</v>
      </c>
      <c r="I307" s="10">
        <v>0</v>
      </c>
      <c r="K307" s="2">
        <v>0.5</v>
      </c>
      <c r="L307" s="13">
        <f t="shared" si="4"/>
        <v>0.44444444444444442</v>
      </c>
      <c r="M307" s="13">
        <f>N307/Sheet1!$B307</f>
        <v>0.52614379084967322</v>
      </c>
      <c r="N307" s="2">
        <f t="shared" si="3"/>
        <v>161</v>
      </c>
      <c r="O307" s="2">
        <f>IF(Sheet1!$H307="ted",1,0)</f>
        <v>1</v>
      </c>
    </row>
    <row r="308" spans="1:15" ht="15.75" customHeight="1" x14ac:dyDescent="0.2">
      <c r="A308" s="11">
        <v>43976</v>
      </c>
      <c r="B308" s="12">
        <f t="shared" si="2"/>
        <v>307</v>
      </c>
      <c r="C308" s="10" t="s">
        <v>65</v>
      </c>
      <c r="D308" s="10" t="s">
        <v>7</v>
      </c>
      <c r="E308" s="10">
        <v>1</v>
      </c>
      <c r="F308" s="10" t="s">
        <v>3</v>
      </c>
      <c r="G308" s="10">
        <v>0</v>
      </c>
      <c r="H308" s="10" t="s">
        <v>8</v>
      </c>
      <c r="I308" s="10">
        <v>0</v>
      </c>
      <c r="K308" s="2">
        <v>0.5</v>
      </c>
      <c r="L308" s="13">
        <f t="shared" si="4"/>
        <v>0.44444444444444442</v>
      </c>
      <c r="M308" s="13">
        <f>N308/Sheet1!$B308</f>
        <v>0.52768729641693812</v>
      </c>
      <c r="N308" s="2">
        <f t="shared" si="3"/>
        <v>162</v>
      </c>
      <c r="O308" s="2">
        <f>IF(Sheet1!$H308="ted",1,0)</f>
        <v>1</v>
      </c>
    </row>
    <row r="309" spans="1:15" ht="15.75" customHeight="1" x14ac:dyDescent="0.2">
      <c r="A309" s="11">
        <v>43976</v>
      </c>
      <c r="B309" s="12">
        <f t="shared" si="2"/>
        <v>308</v>
      </c>
      <c r="C309" s="10" t="s">
        <v>65</v>
      </c>
      <c r="D309" s="10" t="s">
        <v>7</v>
      </c>
      <c r="E309" s="10">
        <v>1</v>
      </c>
      <c r="F309" s="10" t="s">
        <v>3</v>
      </c>
      <c r="G309" s="10">
        <v>0</v>
      </c>
      <c r="H309" s="10" t="s">
        <v>7</v>
      </c>
      <c r="I309" s="10">
        <v>0</v>
      </c>
      <c r="K309" s="2">
        <v>0.5</v>
      </c>
      <c r="L309" s="13">
        <f t="shared" si="4"/>
        <v>0.55555555555555558</v>
      </c>
      <c r="M309" s="13">
        <f>N309/Sheet1!$B309</f>
        <v>0.52922077922077926</v>
      </c>
      <c r="N309" s="2">
        <f t="shared" si="3"/>
        <v>163</v>
      </c>
      <c r="O309" s="2">
        <f>IF(Sheet1!$H309="ted",1,0)</f>
        <v>0</v>
      </c>
    </row>
    <row r="310" spans="1:15" ht="15.75" customHeight="1" x14ac:dyDescent="0.2">
      <c r="A310" s="11">
        <v>44073</v>
      </c>
      <c r="B310" s="12">
        <f t="shared" si="2"/>
        <v>309</v>
      </c>
      <c r="C310" s="10" t="s">
        <v>80</v>
      </c>
      <c r="D310" s="10" t="s">
        <v>59</v>
      </c>
      <c r="E310" s="10">
        <v>0</v>
      </c>
      <c r="F310" s="10" t="s">
        <v>2</v>
      </c>
      <c r="G310" s="10">
        <v>1</v>
      </c>
      <c r="H310" s="10" t="s">
        <v>8</v>
      </c>
      <c r="I310" s="10">
        <v>2</v>
      </c>
      <c r="K310" s="2">
        <v>0.5</v>
      </c>
      <c r="L310" s="13">
        <f t="shared" si="4"/>
        <v>0.44444444444444442</v>
      </c>
      <c r="M310" s="13">
        <f>N310/Sheet1!$B310</f>
        <v>0.52750809061488668</v>
      </c>
      <c r="N310" s="2">
        <f t="shared" si="3"/>
        <v>163</v>
      </c>
      <c r="O310" s="2">
        <f>IF(Sheet1!$H310="ted",1,0)</f>
        <v>1</v>
      </c>
    </row>
    <row r="311" spans="1:15" ht="15.75" customHeight="1" x14ac:dyDescent="0.2">
      <c r="A311" s="11">
        <v>44073</v>
      </c>
      <c r="B311" s="12">
        <f t="shared" si="2"/>
        <v>310</v>
      </c>
      <c r="C311" s="10" t="s">
        <v>80</v>
      </c>
      <c r="D311" s="10" t="s">
        <v>59</v>
      </c>
      <c r="E311" s="10">
        <v>1</v>
      </c>
      <c r="F311" s="10" t="s">
        <v>3</v>
      </c>
      <c r="G311" s="10">
        <v>3</v>
      </c>
      <c r="H311" s="10" t="s">
        <v>59</v>
      </c>
      <c r="I311" s="10">
        <v>0</v>
      </c>
      <c r="K311" s="2">
        <v>0.5</v>
      </c>
      <c r="L311" s="13">
        <f t="shared" si="4"/>
        <v>0.55555555555555558</v>
      </c>
      <c r="M311" s="13">
        <f>N311/Sheet1!$B311</f>
        <v>0.52903225806451615</v>
      </c>
      <c r="N311" s="2">
        <f t="shared" si="3"/>
        <v>164</v>
      </c>
      <c r="O311" s="2">
        <f>IF(Sheet1!$H311="ted",1,0)</f>
        <v>0</v>
      </c>
    </row>
    <row r="312" spans="1:15" ht="15.75" customHeight="1" x14ac:dyDescent="0.2">
      <c r="A312" s="11">
        <v>44073</v>
      </c>
      <c r="B312" s="12">
        <f t="shared" si="2"/>
        <v>311</v>
      </c>
      <c r="C312" s="10" t="s">
        <v>80</v>
      </c>
      <c r="D312" s="10" t="s">
        <v>59</v>
      </c>
      <c r="E312" s="10">
        <v>1</v>
      </c>
      <c r="F312" s="10" t="s">
        <v>3</v>
      </c>
      <c r="G312" s="10">
        <v>0</v>
      </c>
      <c r="H312" s="10" t="s">
        <v>8</v>
      </c>
      <c r="I312" s="10">
        <v>0</v>
      </c>
      <c r="K312" s="2">
        <v>0.5</v>
      </c>
      <c r="L312" s="13">
        <f t="shared" si="4"/>
        <v>0.55555555555555558</v>
      </c>
      <c r="M312" s="13">
        <f>N312/Sheet1!$B312</f>
        <v>0.53054662379421225</v>
      </c>
      <c r="N312" s="2">
        <f t="shared" si="3"/>
        <v>165</v>
      </c>
      <c r="O312" s="2">
        <f>IF(Sheet1!$H312="ted",1,0)</f>
        <v>1</v>
      </c>
    </row>
    <row r="313" spans="1:15" ht="15.75" customHeight="1" x14ac:dyDescent="0.2">
      <c r="A313" s="11">
        <v>44073</v>
      </c>
      <c r="B313" s="12">
        <f t="shared" si="2"/>
        <v>312</v>
      </c>
      <c r="C313" s="10" t="s">
        <v>80</v>
      </c>
      <c r="D313" s="10" t="s">
        <v>59</v>
      </c>
      <c r="E313" s="10">
        <v>1</v>
      </c>
      <c r="F313" s="10" t="s">
        <v>3</v>
      </c>
      <c r="G313" s="10">
        <v>4</v>
      </c>
      <c r="H313" s="10" t="s">
        <v>59</v>
      </c>
      <c r="I313" s="10">
        <v>0</v>
      </c>
      <c r="K313" s="2">
        <v>0.5</v>
      </c>
      <c r="L313" s="13">
        <f t="shared" si="4"/>
        <v>0.66666666666666663</v>
      </c>
      <c r="M313" s="13">
        <f>N313/Sheet1!$B313</f>
        <v>0.53205128205128205</v>
      </c>
      <c r="N313" s="2">
        <f t="shared" si="3"/>
        <v>166</v>
      </c>
      <c r="O313" s="2">
        <f>IF(Sheet1!$H313="ted",1,0)</f>
        <v>0</v>
      </c>
    </row>
    <row r="314" spans="1:15" ht="15.75" customHeight="1" x14ac:dyDescent="0.2">
      <c r="A314" s="11">
        <v>44073</v>
      </c>
      <c r="B314" s="12">
        <f t="shared" si="2"/>
        <v>313</v>
      </c>
      <c r="C314" s="10" t="s">
        <v>80</v>
      </c>
      <c r="D314" s="10" t="s">
        <v>59</v>
      </c>
      <c r="E314" s="10">
        <v>1</v>
      </c>
      <c r="F314" s="10" t="s">
        <v>3</v>
      </c>
      <c r="G314" s="10">
        <v>2</v>
      </c>
      <c r="H314" s="10" t="s">
        <v>8</v>
      </c>
      <c r="I314" s="10">
        <v>0</v>
      </c>
      <c r="K314" s="2">
        <v>0.5</v>
      </c>
      <c r="L314" s="13">
        <f t="shared" si="4"/>
        <v>0.77777777777777779</v>
      </c>
      <c r="M314" s="13">
        <f>N314/Sheet1!$B314</f>
        <v>0.5335463258785943</v>
      </c>
      <c r="N314" s="2">
        <f t="shared" si="3"/>
        <v>167</v>
      </c>
      <c r="O314" s="2">
        <f>IF(Sheet1!$H314="ted",1,0)</f>
        <v>1</v>
      </c>
    </row>
    <row r="315" spans="1:15" ht="15.75" customHeight="1" x14ac:dyDescent="0.2">
      <c r="A315" s="11">
        <v>44422</v>
      </c>
      <c r="B315" s="12">
        <f t="shared" si="2"/>
        <v>314</v>
      </c>
      <c r="C315" s="10" t="s">
        <v>87</v>
      </c>
      <c r="D315" s="10" t="s">
        <v>59</v>
      </c>
      <c r="E315" s="10">
        <v>0</v>
      </c>
      <c r="F315" s="10" t="s">
        <v>3</v>
      </c>
      <c r="G315" s="10">
        <v>3</v>
      </c>
      <c r="H315" s="10" t="s">
        <v>8</v>
      </c>
      <c r="I315" s="10">
        <v>0</v>
      </c>
      <c r="K315" s="2">
        <v>0.5</v>
      </c>
      <c r="L315" s="13">
        <f t="shared" si="4"/>
        <v>0.77777777777777779</v>
      </c>
      <c r="M315" s="13">
        <f>N315/Sheet1!$B315</f>
        <v>0.53184713375796178</v>
      </c>
      <c r="N315" s="2">
        <f t="shared" si="3"/>
        <v>167</v>
      </c>
      <c r="O315" s="2">
        <f>IF(Sheet1!$H315="ted",1,0)</f>
        <v>1</v>
      </c>
    </row>
    <row r="316" spans="1:15" ht="15.75" customHeight="1" x14ac:dyDescent="0.2">
      <c r="A316" s="11">
        <v>44422</v>
      </c>
      <c r="B316" s="12">
        <f t="shared" si="2"/>
        <v>315</v>
      </c>
      <c r="C316" s="10" t="s">
        <v>87</v>
      </c>
      <c r="D316" s="10" t="s">
        <v>59</v>
      </c>
      <c r="E316" s="10">
        <v>1</v>
      </c>
      <c r="F316" s="10" t="s">
        <v>3</v>
      </c>
      <c r="G316" s="10">
        <v>4</v>
      </c>
      <c r="H316" s="10" t="s">
        <v>8</v>
      </c>
      <c r="I316" s="10">
        <v>0</v>
      </c>
      <c r="K316" s="2">
        <v>0.5</v>
      </c>
      <c r="L316" s="13">
        <f t="shared" si="4"/>
        <v>0.77777777777777779</v>
      </c>
      <c r="M316" s="13">
        <f>N316/Sheet1!$B316</f>
        <v>0.53333333333333333</v>
      </c>
      <c r="N316" s="2">
        <f t="shared" si="3"/>
        <v>168</v>
      </c>
      <c r="O316" s="2">
        <f>IF(Sheet1!$H316="ted",1,0)</f>
        <v>1</v>
      </c>
    </row>
    <row r="317" spans="1:15" ht="15.75" customHeight="1" x14ac:dyDescent="0.2">
      <c r="A317" s="11">
        <v>44422</v>
      </c>
      <c r="B317" s="12">
        <f t="shared" si="2"/>
        <v>316</v>
      </c>
      <c r="C317" s="10" t="s">
        <v>87</v>
      </c>
      <c r="D317" s="10" t="s">
        <v>59</v>
      </c>
      <c r="E317" s="10">
        <v>1</v>
      </c>
      <c r="F317" s="10" t="s">
        <v>3</v>
      </c>
      <c r="G317" s="10">
        <v>0</v>
      </c>
      <c r="H317" s="10" t="s">
        <v>8</v>
      </c>
      <c r="I317" s="10">
        <v>0</v>
      </c>
      <c r="K317" s="2">
        <v>0.5</v>
      </c>
      <c r="L317" s="13">
        <f t="shared" si="4"/>
        <v>0.77777777777777779</v>
      </c>
      <c r="M317" s="13">
        <f>N317/Sheet1!$B317</f>
        <v>0.53481012658227844</v>
      </c>
      <c r="N317" s="2">
        <f t="shared" si="3"/>
        <v>169</v>
      </c>
      <c r="O317" s="2">
        <f>IF(Sheet1!$H317="ted",1,0)</f>
        <v>1</v>
      </c>
    </row>
    <row r="318" spans="1:15" ht="15.75" customHeight="1" x14ac:dyDescent="0.2">
      <c r="A318" s="11">
        <v>44422</v>
      </c>
      <c r="B318" s="12">
        <f t="shared" si="2"/>
        <v>317</v>
      </c>
      <c r="C318" s="10" t="s">
        <v>87</v>
      </c>
      <c r="D318" s="10" t="s">
        <v>59</v>
      </c>
      <c r="E318" s="10">
        <v>0</v>
      </c>
      <c r="F318" s="10" t="s">
        <v>3</v>
      </c>
      <c r="G318" s="10">
        <v>2</v>
      </c>
      <c r="H318" s="10" t="s">
        <v>8</v>
      </c>
      <c r="I318" s="10">
        <v>0</v>
      </c>
      <c r="K318" s="2">
        <v>0.5</v>
      </c>
      <c r="L318" s="13">
        <f t="shared" si="4"/>
        <v>0.66666666666666663</v>
      </c>
      <c r="M318" s="13">
        <f>N318/Sheet1!$B318</f>
        <v>0.53312302839116721</v>
      </c>
      <c r="N318" s="2">
        <f t="shared" si="3"/>
        <v>169</v>
      </c>
      <c r="O318" s="2">
        <f>IF(Sheet1!$H318="ted",1,0)</f>
        <v>1</v>
      </c>
    </row>
    <row r="319" spans="1:15" ht="15.75" customHeight="1" x14ac:dyDescent="0.2">
      <c r="A319" s="11">
        <v>44446</v>
      </c>
      <c r="B319" s="12">
        <f t="shared" si="2"/>
        <v>318</v>
      </c>
      <c r="C319" s="10" t="s">
        <v>80</v>
      </c>
      <c r="D319" s="10" t="s">
        <v>59</v>
      </c>
      <c r="E319" s="10">
        <v>1</v>
      </c>
      <c r="F319" s="10" t="s">
        <v>3</v>
      </c>
      <c r="G319" s="10">
        <v>0</v>
      </c>
      <c r="H319" s="10" t="s">
        <v>8</v>
      </c>
      <c r="I319" s="10">
        <v>0</v>
      </c>
      <c r="K319" s="2">
        <v>0.5</v>
      </c>
      <c r="L319" s="13">
        <f t="shared" si="4"/>
        <v>0.77777777777777779</v>
      </c>
      <c r="M319" s="13">
        <f>N319/Sheet1!$B319</f>
        <v>0.53459119496855345</v>
      </c>
      <c r="N319" s="2">
        <f t="shared" si="3"/>
        <v>170</v>
      </c>
      <c r="O319" s="2">
        <f>IF(Sheet1!$H319="ted",1,0)</f>
        <v>1</v>
      </c>
    </row>
    <row r="320" spans="1:15" ht="15.75" customHeight="1" x14ac:dyDescent="0.2">
      <c r="A320" s="11">
        <v>44446</v>
      </c>
      <c r="B320" s="12">
        <f t="shared" si="2"/>
        <v>319</v>
      </c>
      <c r="C320" s="10" t="s">
        <v>80</v>
      </c>
      <c r="D320" s="10" t="s">
        <v>59</v>
      </c>
      <c r="E320" s="10">
        <v>1</v>
      </c>
      <c r="F320" s="10" t="s">
        <v>3</v>
      </c>
      <c r="G320" s="10">
        <v>0</v>
      </c>
      <c r="H320" s="10" t="s">
        <v>8</v>
      </c>
      <c r="I320" s="10">
        <v>0</v>
      </c>
      <c r="K320" s="2">
        <v>0.5</v>
      </c>
      <c r="L320" s="13">
        <f t="shared" si="4"/>
        <v>0.77777777777777779</v>
      </c>
      <c r="M320" s="13">
        <f>N320/Sheet1!$B320</f>
        <v>0.53605015673981193</v>
      </c>
      <c r="N320" s="2">
        <f t="shared" si="3"/>
        <v>171</v>
      </c>
      <c r="O320" s="2">
        <f>IF(Sheet1!$H320="ted",1,0)</f>
        <v>1</v>
      </c>
    </row>
    <row r="321" spans="1:15" ht="15.75" customHeight="1" x14ac:dyDescent="0.2">
      <c r="A321" s="11">
        <v>44446</v>
      </c>
      <c r="B321" s="12">
        <f t="shared" si="2"/>
        <v>320</v>
      </c>
      <c r="C321" s="10" t="s">
        <v>80</v>
      </c>
      <c r="D321" s="10" t="s">
        <v>59</v>
      </c>
      <c r="E321" s="10">
        <v>1</v>
      </c>
      <c r="F321" s="10" t="s">
        <v>4</v>
      </c>
      <c r="G321" s="10">
        <v>0</v>
      </c>
      <c r="H321" s="10" t="s">
        <v>8</v>
      </c>
      <c r="I321" s="10">
        <v>3</v>
      </c>
      <c r="K321" s="2">
        <v>0.5</v>
      </c>
      <c r="L321" s="13">
        <f t="shared" si="4"/>
        <v>0.77777777777777779</v>
      </c>
      <c r="M321" s="13">
        <f>N321/Sheet1!$B321</f>
        <v>0.53749999999999998</v>
      </c>
      <c r="N321" s="2">
        <f t="shared" si="3"/>
        <v>172</v>
      </c>
      <c r="O321" s="2">
        <f>IF(Sheet1!$H321="ted",1,0)</f>
        <v>1</v>
      </c>
    </row>
    <row r="322" spans="1:15" ht="15.75" customHeight="1" x14ac:dyDescent="0.2">
      <c r="A322" s="11">
        <v>44446</v>
      </c>
      <c r="B322" s="12">
        <f t="shared" si="2"/>
        <v>321</v>
      </c>
      <c r="C322" s="10" t="s">
        <v>80</v>
      </c>
      <c r="D322" s="10" t="s">
        <v>59</v>
      </c>
      <c r="E322" s="10">
        <v>0</v>
      </c>
      <c r="F322" s="10" t="s">
        <v>4</v>
      </c>
      <c r="G322" s="10">
        <v>1</v>
      </c>
      <c r="H322" s="10" t="s">
        <v>8</v>
      </c>
      <c r="I322" s="10">
        <v>2</v>
      </c>
      <c r="K322" s="2">
        <v>0.5</v>
      </c>
      <c r="L322" s="13">
        <f t="shared" si="4"/>
        <v>0.66666666666666663</v>
      </c>
      <c r="M322" s="13">
        <f>N322/Sheet1!$B322</f>
        <v>0.53582554517133951</v>
      </c>
      <c r="N322" s="2">
        <f t="shared" si="3"/>
        <v>172</v>
      </c>
      <c r="O322" s="2">
        <f>IF(Sheet1!$H322="ted",1,0)</f>
        <v>1</v>
      </c>
    </row>
    <row r="323" spans="1:15" ht="15.75" customHeight="1" x14ac:dyDescent="0.2">
      <c r="A323" s="11">
        <v>44446</v>
      </c>
      <c r="B323" s="12">
        <f t="shared" si="2"/>
        <v>322</v>
      </c>
      <c r="C323" s="10" t="s">
        <v>80</v>
      </c>
      <c r="D323" s="10" t="s">
        <v>59</v>
      </c>
      <c r="E323" s="10">
        <v>1</v>
      </c>
      <c r="F323" s="10" t="s">
        <v>3</v>
      </c>
      <c r="G323" s="10">
        <v>1</v>
      </c>
      <c r="H323" s="10" t="s">
        <v>59</v>
      </c>
      <c r="I323" s="10">
        <v>0</v>
      </c>
      <c r="K323" s="2">
        <v>0.5</v>
      </c>
      <c r="L323" s="13">
        <f t="shared" si="4"/>
        <v>0.66666666666666663</v>
      </c>
      <c r="M323" s="13">
        <f>N323/Sheet1!$B323</f>
        <v>0.53726708074534157</v>
      </c>
      <c r="N323" s="2">
        <f t="shared" si="3"/>
        <v>173</v>
      </c>
      <c r="O323" s="2">
        <f>IF(Sheet1!$H323="ted",1,0)</f>
        <v>0</v>
      </c>
    </row>
    <row r="324" spans="1:15" ht="15.75" customHeight="1" x14ac:dyDescent="0.2">
      <c r="A324" s="11">
        <v>44459</v>
      </c>
      <c r="B324" s="12">
        <f t="shared" si="2"/>
        <v>323</v>
      </c>
      <c r="C324" s="10" t="s">
        <v>87</v>
      </c>
      <c r="D324" s="10" t="s">
        <v>59</v>
      </c>
      <c r="E324" s="10">
        <v>1</v>
      </c>
      <c r="F324" s="10" t="s">
        <v>2</v>
      </c>
      <c r="G324" s="10">
        <v>1</v>
      </c>
      <c r="H324" s="10" t="s">
        <v>8</v>
      </c>
      <c r="I324" s="10">
        <v>6</v>
      </c>
      <c r="K324" s="2">
        <v>0.5</v>
      </c>
      <c r="L324" s="13">
        <f t="shared" si="4"/>
        <v>0.77777777777777779</v>
      </c>
      <c r="M324" s="13">
        <f>N324/Sheet1!$B324</f>
        <v>0.53869969040247678</v>
      </c>
      <c r="N324" s="2">
        <f t="shared" si="3"/>
        <v>174</v>
      </c>
      <c r="O324" s="2">
        <f>IF(Sheet1!$H324="ted",1,0)</f>
        <v>1</v>
      </c>
    </row>
    <row r="325" spans="1:15" ht="15.75" customHeight="1" x14ac:dyDescent="0.2">
      <c r="A325" s="11">
        <v>44459</v>
      </c>
      <c r="B325" s="12">
        <f t="shared" si="2"/>
        <v>324</v>
      </c>
      <c r="C325" s="10" t="s">
        <v>87</v>
      </c>
      <c r="D325" s="10" t="s">
        <v>88</v>
      </c>
      <c r="E325" s="10">
        <v>1</v>
      </c>
      <c r="F325" s="10" t="s">
        <v>2</v>
      </c>
      <c r="G325" s="10">
        <v>5</v>
      </c>
      <c r="H325" s="10" t="s">
        <v>8</v>
      </c>
      <c r="I325" s="10">
        <v>5</v>
      </c>
      <c r="K325" s="2">
        <v>0.5</v>
      </c>
      <c r="L325" s="13">
        <f t="shared" si="4"/>
        <v>0.77777777777777779</v>
      </c>
      <c r="M325" s="13">
        <f>N325/Sheet1!$B325</f>
        <v>0.54012345679012341</v>
      </c>
      <c r="N325" s="2">
        <f t="shared" si="3"/>
        <v>175</v>
      </c>
      <c r="O325" s="2">
        <f>IF(Sheet1!$H325="ted",1,0)</f>
        <v>1</v>
      </c>
    </row>
    <row r="326" spans="1:15" ht="15.75" customHeight="1" x14ac:dyDescent="0.2">
      <c r="A326" s="11">
        <v>44459</v>
      </c>
      <c r="B326" s="12">
        <f t="shared" si="2"/>
        <v>325</v>
      </c>
      <c r="C326" s="10" t="s">
        <v>87</v>
      </c>
      <c r="D326" s="10" t="s">
        <v>89</v>
      </c>
      <c r="E326" s="10">
        <v>1</v>
      </c>
      <c r="F326" s="10" t="s">
        <v>2</v>
      </c>
      <c r="G326" s="10">
        <v>1</v>
      </c>
      <c r="H326" s="10" t="s">
        <v>8</v>
      </c>
      <c r="I326" s="10">
        <v>2</v>
      </c>
      <c r="K326" s="2">
        <v>0.5</v>
      </c>
      <c r="L326" s="13">
        <f t="shared" si="4"/>
        <v>0.77777777777777779</v>
      </c>
      <c r="M326" s="13">
        <f>N326/Sheet1!$B326</f>
        <v>0.54153846153846152</v>
      </c>
      <c r="N326" s="2">
        <f t="shared" si="3"/>
        <v>176</v>
      </c>
      <c r="O326" s="2">
        <f>IF(Sheet1!$H326="ted",1,0)</f>
        <v>1</v>
      </c>
    </row>
    <row r="327" spans="1:15" ht="15.75" customHeight="1" x14ac:dyDescent="0.2">
      <c r="A327" s="11">
        <v>44459</v>
      </c>
      <c r="B327" s="12">
        <f t="shared" si="2"/>
        <v>326</v>
      </c>
      <c r="C327" s="10" t="s">
        <v>87</v>
      </c>
      <c r="D327" s="10" t="s">
        <v>59</v>
      </c>
      <c r="E327" s="10">
        <v>0</v>
      </c>
      <c r="F327" s="10" t="s">
        <v>2</v>
      </c>
      <c r="G327" s="10">
        <v>4</v>
      </c>
      <c r="H327" s="10" t="s">
        <v>8</v>
      </c>
      <c r="I327" s="10">
        <v>5</v>
      </c>
      <c r="K327" s="2">
        <v>0.5</v>
      </c>
      <c r="L327" s="13">
        <f t="shared" si="4"/>
        <v>0.77777777777777779</v>
      </c>
      <c r="M327" s="13">
        <f>N327/Sheet1!$B327</f>
        <v>0.53987730061349692</v>
      </c>
      <c r="N327" s="2">
        <f t="shared" si="3"/>
        <v>176</v>
      </c>
      <c r="O327" s="2">
        <f>IF(Sheet1!$H327="ted",1,0)</f>
        <v>1</v>
      </c>
    </row>
    <row r="328" spans="1:15" ht="15.75" customHeight="1" x14ac:dyDescent="0.2">
      <c r="A328" s="11">
        <v>44459</v>
      </c>
      <c r="B328" s="12">
        <f t="shared" si="2"/>
        <v>327</v>
      </c>
      <c r="C328" s="10" t="s">
        <v>87</v>
      </c>
      <c r="D328" s="10" t="s">
        <v>59</v>
      </c>
      <c r="E328" s="10">
        <v>0</v>
      </c>
      <c r="F328" s="10" t="s">
        <v>3</v>
      </c>
      <c r="G328" s="10">
        <v>1</v>
      </c>
      <c r="H328" s="10" t="s">
        <v>59</v>
      </c>
      <c r="I328" s="10">
        <v>0</v>
      </c>
      <c r="K328" s="2">
        <v>0.5</v>
      </c>
      <c r="L328" s="13">
        <f t="shared" si="4"/>
        <v>0.66666666666666663</v>
      </c>
      <c r="M328" s="13">
        <f>N328/Sheet1!$B328</f>
        <v>0.53822629969418956</v>
      </c>
      <c r="N328" s="2">
        <f t="shared" si="3"/>
        <v>176</v>
      </c>
      <c r="O328" s="2">
        <f>IF(Sheet1!$H328="ted",1,0)</f>
        <v>0</v>
      </c>
    </row>
    <row r="329" spans="1:15" ht="15.75" customHeight="1" x14ac:dyDescent="0.2">
      <c r="A329" s="11">
        <v>44459</v>
      </c>
      <c r="B329" s="12">
        <f t="shared" si="2"/>
        <v>328</v>
      </c>
      <c r="C329" s="10" t="s">
        <v>87</v>
      </c>
      <c r="D329" s="10" t="s">
        <v>59</v>
      </c>
      <c r="E329" s="10">
        <v>0</v>
      </c>
      <c r="F329" s="10" t="s">
        <v>3</v>
      </c>
      <c r="G329" s="10">
        <v>0</v>
      </c>
      <c r="H329" s="10" t="s">
        <v>59</v>
      </c>
      <c r="I329" s="10">
        <v>0</v>
      </c>
      <c r="K329" s="2">
        <v>0.5</v>
      </c>
      <c r="L329" s="13">
        <f t="shared" si="4"/>
        <v>0.55555555555555558</v>
      </c>
      <c r="M329" s="13">
        <f>N329/Sheet1!$B329</f>
        <v>0.53658536585365857</v>
      </c>
      <c r="N329" s="2">
        <f t="shared" si="3"/>
        <v>176</v>
      </c>
      <c r="O329" s="2">
        <f>IF(Sheet1!$H329="ted",1,0)</f>
        <v>0</v>
      </c>
    </row>
    <row r="330" spans="1:15" ht="15.75" customHeight="1" x14ac:dyDescent="0.2">
      <c r="A330" s="11">
        <v>44484</v>
      </c>
      <c r="B330" s="12">
        <f t="shared" si="2"/>
        <v>329</v>
      </c>
      <c r="C330" s="10" t="s">
        <v>87</v>
      </c>
      <c r="D330" s="10" t="s">
        <v>57</v>
      </c>
      <c r="E330" s="10">
        <v>1</v>
      </c>
      <c r="F330" s="10" t="s">
        <v>2</v>
      </c>
      <c r="G330" s="10">
        <v>1</v>
      </c>
      <c r="H330" s="10" t="s">
        <v>57</v>
      </c>
      <c r="I330" s="10">
        <v>3</v>
      </c>
      <c r="K330" s="2">
        <v>0.5</v>
      </c>
      <c r="L330" s="13">
        <f t="shared" si="4"/>
        <v>0.55555555555555558</v>
      </c>
      <c r="M330" s="13">
        <f>N330/Sheet1!$B330</f>
        <v>0.53799392097264442</v>
      </c>
      <c r="N330" s="2">
        <f t="shared" si="3"/>
        <v>177</v>
      </c>
      <c r="O330" s="2">
        <f>IF(Sheet1!$H330="ted",1,0)</f>
        <v>0</v>
      </c>
    </row>
    <row r="331" spans="1:15" ht="15.75" customHeight="1" x14ac:dyDescent="0.2">
      <c r="A331" s="11">
        <v>44484</v>
      </c>
      <c r="B331" s="12">
        <f t="shared" si="2"/>
        <v>330</v>
      </c>
      <c r="C331" s="10" t="s">
        <v>87</v>
      </c>
      <c r="D331" s="10" t="s">
        <v>60</v>
      </c>
      <c r="E331" s="10">
        <v>1</v>
      </c>
      <c r="F331" s="10" t="s">
        <v>4</v>
      </c>
      <c r="G331" s="10">
        <v>0</v>
      </c>
      <c r="H331" s="10" t="s">
        <v>8</v>
      </c>
      <c r="I331" s="10">
        <v>0</v>
      </c>
      <c r="K331" s="2">
        <v>0.5</v>
      </c>
      <c r="L331" s="13">
        <f t="shared" si="4"/>
        <v>0.66666666666666663</v>
      </c>
      <c r="M331" s="13">
        <f>N331/Sheet1!$B331</f>
        <v>0.53939393939393943</v>
      </c>
      <c r="N331" s="2">
        <f t="shared" si="3"/>
        <v>178</v>
      </c>
      <c r="O331" s="2">
        <f>IF(Sheet1!$H331="ted",1,0)</f>
        <v>1</v>
      </c>
    </row>
    <row r="332" spans="1:15" ht="15.75" customHeight="1" x14ac:dyDescent="0.2">
      <c r="A332" s="11">
        <v>44484</v>
      </c>
      <c r="B332" s="12">
        <f t="shared" si="2"/>
        <v>331</v>
      </c>
      <c r="C332" s="10" t="s">
        <v>87</v>
      </c>
      <c r="D332" s="10" t="s">
        <v>59</v>
      </c>
      <c r="E332" s="10">
        <v>0</v>
      </c>
      <c r="F332" s="10" t="s">
        <v>3</v>
      </c>
      <c r="G332" s="10">
        <v>5</v>
      </c>
      <c r="H332" s="10" t="s">
        <v>8</v>
      </c>
      <c r="I332" s="10">
        <v>0</v>
      </c>
      <c r="K332" s="2">
        <v>0.5</v>
      </c>
      <c r="L332" s="13">
        <f t="shared" si="4"/>
        <v>0.55555555555555558</v>
      </c>
      <c r="M332" s="13">
        <f>N332/Sheet1!$B332</f>
        <v>0.53776435045317217</v>
      </c>
      <c r="N332" s="2">
        <f t="shared" si="3"/>
        <v>178</v>
      </c>
      <c r="O332" s="2">
        <f>IF(Sheet1!$H332="ted",1,0)</f>
        <v>1</v>
      </c>
    </row>
    <row r="333" spans="1:15" ht="15.75" customHeight="1" x14ac:dyDescent="0.2">
      <c r="A333" s="11">
        <v>44484</v>
      </c>
      <c r="B333" s="12">
        <f t="shared" si="2"/>
        <v>332</v>
      </c>
      <c r="C333" s="10" t="s">
        <v>87</v>
      </c>
      <c r="D333" s="10" t="s">
        <v>57</v>
      </c>
      <c r="E333" s="10">
        <v>0</v>
      </c>
      <c r="F333" s="10" t="s">
        <v>3</v>
      </c>
      <c r="G333" s="10">
        <v>1</v>
      </c>
      <c r="H333" s="10" t="s">
        <v>8</v>
      </c>
      <c r="I333" s="10">
        <v>0</v>
      </c>
      <c r="K333" s="2">
        <v>0.5</v>
      </c>
      <c r="L333" s="13">
        <f t="shared" si="4"/>
        <v>0.44444444444444442</v>
      </c>
      <c r="M333" s="13">
        <f>N333/Sheet1!$B333</f>
        <v>0.53614457831325302</v>
      </c>
      <c r="N333" s="2">
        <f t="shared" si="3"/>
        <v>178</v>
      </c>
      <c r="O333" s="2">
        <f>IF(Sheet1!$H333="ted",1,0)</f>
        <v>1</v>
      </c>
    </row>
    <row r="334" spans="1:15" ht="15.75" customHeight="1" x14ac:dyDescent="0.2">
      <c r="A334" s="11">
        <v>44485</v>
      </c>
      <c r="B334" s="12">
        <f t="shared" si="2"/>
        <v>333</v>
      </c>
      <c r="C334" s="10" t="s">
        <v>87</v>
      </c>
      <c r="D334" s="10" t="s">
        <v>90</v>
      </c>
      <c r="E334" s="10">
        <v>1</v>
      </c>
      <c r="F334" s="10" t="s">
        <v>3</v>
      </c>
      <c r="G334" s="10">
        <v>1</v>
      </c>
      <c r="H334" s="10" t="s">
        <v>8</v>
      </c>
      <c r="I334" s="10">
        <v>0</v>
      </c>
      <c r="K334" s="2">
        <v>0.5</v>
      </c>
      <c r="L334" s="13">
        <f t="shared" si="4"/>
        <v>0.44444444444444442</v>
      </c>
      <c r="M334" s="13">
        <f>N334/Sheet1!$B334</f>
        <v>0.53753753753753752</v>
      </c>
      <c r="N334" s="2">
        <f t="shared" si="3"/>
        <v>179</v>
      </c>
      <c r="O334" s="2">
        <f>IF(Sheet1!$H334="ted",1,0)</f>
        <v>1</v>
      </c>
    </row>
    <row r="335" spans="1:15" ht="15.75" customHeight="1" x14ac:dyDescent="0.2">
      <c r="A335" s="11">
        <v>44485</v>
      </c>
      <c r="B335" s="12">
        <f t="shared" si="2"/>
        <v>334</v>
      </c>
      <c r="C335" s="10" t="s">
        <v>87</v>
      </c>
      <c r="D335" s="10" t="s">
        <v>90</v>
      </c>
      <c r="E335" s="10">
        <v>1</v>
      </c>
      <c r="F335" s="10" t="s">
        <v>3</v>
      </c>
      <c r="G335" s="10">
        <v>0</v>
      </c>
      <c r="H335" s="10" t="s">
        <v>8</v>
      </c>
      <c r="I335" s="10">
        <v>0</v>
      </c>
      <c r="K335" s="2">
        <v>0.5</v>
      </c>
      <c r="L335" s="13">
        <f t="shared" si="4"/>
        <v>0.44444444444444442</v>
      </c>
      <c r="M335" s="13">
        <f>N335/Sheet1!$B335</f>
        <v>0.53892215568862278</v>
      </c>
      <c r="N335" s="2">
        <f t="shared" si="3"/>
        <v>180</v>
      </c>
      <c r="O335" s="2">
        <f>IF(Sheet1!$H335="ted",1,0)</f>
        <v>1</v>
      </c>
    </row>
    <row r="336" spans="1:15" ht="15.75" customHeight="1" x14ac:dyDescent="0.2">
      <c r="A336" s="11">
        <v>44485</v>
      </c>
      <c r="B336" s="12">
        <f t="shared" si="2"/>
        <v>335</v>
      </c>
      <c r="C336" s="10" t="s">
        <v>87</v>
      </c>
      <c r="D336" s="10" t="s">
        <v>59</v>
      </c>
      <c r="E336" s="10">
        <v>0</v>
      </c>
      <c r="F336" s="10" t="s">
        <v>3</v>
      </c>
      <c r="G336" s="10">
        <v>5</v>
      </c>
      <c r="H336" s="10" t="s">
        <v>8</v>
      </c>
      <c r="I336" s="10">
        <v>0</v>
      </c>
      <c r="K336" s="2">
        <v>0.5</v>
      </c>
      <c r="L336" s="13">
        <f t="shared" si="4"/>
        <v>0.44444444444444442</v>
      </c>
      <c r="M336" s="13">
        <f>N336/Sheet1!$B336</f>
        <v>0.53731343283582089</v>
      </c>
      <c r="N336" s="2">
        <f t="shared" si="3"/>
        <v>180</v>
      </c>
      <c r="O336" s="2">
        <f>IF(Sheet1!$H336="ted",1,0)</f>
        <v>1</v>
      </c>
    </row>
    <row r="337" spans="1:15" ht="15.75" customHeight="1" x14ac:dyDescent="0.2">
      <c r="A337" s="11">
        <v>44499</v>
      </c>
      <c r="B337" s="12">
        <f t="shared" si="2"/>
        <v>336</v>
      </c>
      <c r="C337" s="10" t="s">
        <v>87</v>
      </c>
      <c r="D337" s="10" t="s">
        <v>77</v>
      </c>
      <c r="E337" s="10">
        <v>1</v>
      </c>
      <c r="F337" s="10" t="s">
        <v>3</v>
      </c>
      <c r="G337" s="10">
        <v>1</v>
      </c>
      <c r="H337" s="10" t="s">
        <v>77</v>
      </c>
      <c r="I337" s="10">
        <v>0</v>
      </c>
      <c r="K337" s="2">
        <v>0.5</v>
      </c>
      <c r="L337" s="13">
        <f t="shared" si="4"/>
        <v>0.55555555555555558</v>
      </c>
      <c r="M337" s="13">
        <f>N337/Sheet1!$B337</f>
        <v>0.53869047619047616</v>
      </c>
      <c r="N337" s="2">
        <f t="shared" si="3"/>
        <v>181</v>
      </c>
      <c r="O337" s="2">
        <f>IF(Sheet1!$H337="ted",1,0)</f>
        <v>0</v>
      </c>
    </row>
    <row r="338" spans="1:15" ht="15.75" customHeight="1" x14ac:dyDescent="0.2">
      <c r="A338" s="11">
        <v>44499</v>
      </c>
      <c r="B338" s="12">
        <f t="shared" si="2"/>
        <v>337</v>
      </c>
      <c r="C338" s="10" t="s">
        <v>87</v>
      </c>
      <c r="D338" s="10" t="s">
        <v>59</v>
      </c>
      <c r="E338" s="10">
        <v>1</v>
      </c>
      <c r="F338" s="10" t="s">
        <v>3</v>
      </c>
      <c r="G338" s="10">
        <v>1</v>
      </c>
      <c r="H338" s="10" t="s">
        <v>8</v>
      </c>
      <c r="I338" s="10">
        <v>0</v>
      </c>
      <c r="K338" s="2">
        <v>0.5</v>
      </c>
      <c r="L338" s="13">
        <f t="shared" si="4"/>
        <v>0.66666666666666663</v>
      </c>
      <c r="M338" s="13">
        <f>N338/Sheet1!$B338</f>
        <v>0.5400593471810089</v>
      </c>
      <c r="N338" s="2">
        <f t="shared" si="3"/>
        <v>182</v>
      </c>
      <c r="O338" s="2">
        <f>IF(Sheet1!$H338="ted",1,0)</f>
        <v>1</v>
      </c>
    </row>
    <row r="339" spans="1:15" ht="15.75" customHeight="1" x14ac:dyDescent="0.2">
      <c r="A339" s="11">
        <v>44499</v>
      </c>
      <c r="B339" s="12">
        <f t="shared" si="2"/>
        <v>338</v>
      </c>
      <c r="C339" s="10" t="s">
        <v>87</v>
      </c>
      <c r="D339" s="10" t="s">
        <v>77</v>
      </c>
      <c r="E339" s="10">
        <v>1</v>
      </c>
      <c r="F339" s="10" t="s">
        <v>3</v>
      </c>
      <c r="G339" s="10">
        <v>2</v>
      </c>
      <c r="H339" s="10" t="s">
        <v>8</v>
      </c>
      <c r="I339" s="10">
        <v>0</v>
      </c>
      <c r="K339" s="2">
        <v>0.5</v>
      </c>
      <c r="L339" s="13">
        <f t="shared" si="4"/>
        <v>0.66666666666666663</v>
      </c>
      <c r="M339" s="13">
        <f>N339/Sheet1!$B339</f>
        <v>0.54142011834319526</v>
      </c>
      <c r="N339" s="2">
        <f t="shared" si="3"/>
        <v>183</v>
      </c>
      <c r="O339" s="2">
        <f>IF(Sheet1!$H339="ted",1,0)</f>
        <v>1</v>
      </c>
    </row>
    <row r="340" spans="1:15" ht="15.75" customHeight="1" x14ac:dyDescent="0.2">
      <c r="A340" s="11">
        <v>44503</v>
      </c>
      <c r="B340" s="12">
        <f t="shared" si="2"/>
        <v>339</v>
      </c>
      <c r="C340" s="10" t="s">
        <v>87</v>
      </c>
      <c r="D340" s="10" t="s">
        <v>90</v>
      </c>
      <c r="E340" s="10">
        <v>1</v>
      </c>
      <c r="F340" s="10" t="s">
        <v>3</v>
      </c>
      <c r="G340" s="10">
        <v>0</v>
      </c>
      <c r="H340" s="10" t="s">
        <v>8</v>
      </c>
      <c r="I340" s="10">
        <v>0</v>
      </c>
      <c r="K340" s="2">
        <v>0.5</v>
      </c>
      <c r="L340" s="13">
        <f t="shared" si="4"/>
        <v>0.66666666666666663</v>
      </c>
      <c r="M340" s="13">
        <f>N340/Sheet1!$B340</f>
        <v>0.54277286135693215</v>
      </c>
      <c r="N340" s="2">
        <f t="shared" si="3"/>
        <v>184</v>
      </c>
      <c r="O340" s="2">
        <f>IF(Sheet1!$H340="ted",1,0)</f>
        <v>1</v>
      </c>
    </row>
    <row r="341" spans="1:15" ht="15.75" customHeight="1" x14ac:dyDescent="0.2">
      <c r="A341" s="11">
        <v>44503</v>
      </c>
      <c r="B341" s="12">
        <f t="shared" si="2"/>
        <v>340</v>
      </c>
      <c r="C341" s="10" t="s">
        <v>87</v>
      </c>
      <c r="D341" s="10" t="s">
        <v>59</v>
      </c>
      <c r="E341" s="10">
        <v>0</v>
      </c>
      <c r="F341" s="10" t="s">
        <v>3</v>
      </c>
      <c r="G341" s="10">
        <v>3</v>
      </c>
      <c r="H341" s="10" t="s">
        <v>8</v>
      </c>
      <c r="I341" s="10">
        <v>0</v>
      </c>
      <c r="K341" s="2">
        <v>0.5</v>
      </c>
      <c r="L341" s="13">
        <f t="shared" si="4"/>
        <v>0.66666666666666663</v>
      </c>
      <c r="M341" s="13">
        <f>N341/Sheet1!$B341</f>
        <v>0.54117647058823526</v>
      </c>
      <c r="N341" s="2">
        <f t="shared" si="3"/>
        <v>184</v>
      </c>
      <c r="O341" s="2">
        <f>IF(Sheet1!$H341="ted",1,0)</f>
        <v>1</v>
      </c>
    </row>
    <row r="342" spans="1:15" ht="15.75" customHeight="1" x14ac:dyDescent="0.2">
      <c r="A342" s="11">
        <v>44503</v>
      </c>
      <c r="B342" s="12">
        <f t="shared" si="2"/>
        <v>341</v>
      </c>
      <c r="C342" s="10" t="s">
        <v>87</v>
      </c>
      <c r="D342" s="10" t="s">
        <v>91</v>
      </c>
      <c r="E342" s="10">
        <v>1</v>
      </c>
      <c r="F342" s="10" t="s">
        <v>3</v>
      </c>
      <c r="G342" s="10">
        <v>0</v>
      </c>
      <c r="H342" s="10" t="s">
        <v>91</v>
      </c>
      <c r="I342" s="10">
        <v>0</v>
      </c>
      <c r="K342" s="2">
        <v>0.5</v>
      </c>
      <c r="L342" s="13">
        <f t="shared" si="4"/>
        <v>0.77777777777777779</v>
      </c>
      <c r="M342" s="13">
        <f>N342/Sheet1!$B342</f>
        <v>0.54252199413489732</v>
      </c>
      <c r="N342" s="2">
        <f t="shared" si="3"/>
        <v>185</v>
      </c>
      <c r="O342" s="2">
        <f>IF(Sheet1!$H342="ted",1,0)</f>
        <v>0</v>
      </c>
    </row>
    <row r="343" spans="1:15" ht="15.75" customHeight="1" x14ac:dyDescent="0.2">
      <c r="A343" s="11">
        <v>44503</v>
      </c>
      <c r="B343" s="12">
        <f t="shared" si="2"/>
        <v>342</v>
      </c>
      <c r="C343" s="10" t="s">
        <v>87</v>
      </c>
      <c r="D343" s="10" t="s">
        <v>77</v>
      </c>
      <c r="E343" s="10">
        <v>0</v>
      </c>
      <c r="F343" s="10" t="s">
        <v>3</v>
      </c>
      <c r="G343" s="10">
        <v>0</v>
      </c>
      <c r="H343" s="10" t="s">
        <v>8</v>
      </c>
      <c r="I343" s="10">
        <v>0</v>
      </c>
      <c r="K343" s="2">
        <v>0.5</v>
      </c>
      <c r="L343" s="13">
        <f t="shared" si="4"/>
        <v>0.66666666666666663</v>
      </c>
      <c r="M343" s="13">
        <f>N343/Sheet1!$B343</f>
        <v>0.54093567251461994</v>
      </c>
      <c r="N343" s="2">
        <f t="shared" si="3"/>
        <v>185</v>
      </c>
      <c r="O343" s="2">
        <f>IF(Sheet1!$H343="ted",1,0)</f>
        <v>1</v>
      </c>
    </row>
    <row r="344" spans="1:15" ht="15.75" customHeight="1" x14ac:dyDescent="0.2">
      <c r="A344" s="11">
        <v>44503</v>
      </c>
      <c r="B344" s="12">
        <f t="shared" si="2"/>
        <v>343</v>
      </c>
      <c r="C344" s="10" t="s">
        <v>87</v>
      </c>
      <c r="D344" s="10" t="s">
        <v>91</v>
      </c>
      <c r="E344" s="10">
        <v>0</v>
      </c>
      <c r="F344" s="10" t="s">
        <v>3</v>
      </c>
      <c r="G344" s="10">
        <v>0</v>
      </c>
      <c r="H344" s="10" t="s">
        <v>8</v>
      </c>
      <c r="I344" s="10">
        <v>0</v>
      </c>
      <c r="K344" s="2">
        <v>0.5</v>
      </c>
      <c r="L344" s="13">
        <f t="shared" si="4"/>
        <v>0.55555555555555558</v>
      </c>
      <c r="M344" s="13">
        <f>N344/Sheet1!$B344</f>
        <v>0.53935860058309038</v>
      </c>
      <c r="N344" s="2">
        <f t="shared" si="3"/>
        <v>185</v>
      </c>
      <c r="O344" s="2">
        <f>IF(Sheet1!$H344="ted",1,0)</f>
        <v>1</v>
      </c>
    </row>
    <row r="345" spans="1:15" ht="15.75" customHeight="1" x14ac:dyDescent="0.2">
      <c r="A345" s="11">
        <v>44503</v>
      </c>
      <c r="B345" s="12">
        <f t="shared" si="2"/>
        <v>344</v>
      </c>
      <c r="C345" s="10" t="s">
        <v>87</v>
      </c>
      <c r="D345" s="10" t="s">
        <v>77</v>
      </c>
      <c r="E345" s="10">
        <v>1</v>
      </c>
      <c r="F345" s="10" t="s">
        <v>3</v>
      </c>
      <c r="G345" s="10">
        <v>1</v>
      </c>
      <c r="H345" s="10" t="s">
        <v>77</v>
      </c>
      <c r="I345" s="10">
        <v>0</v>
      </c>
      <c r="K345" s="2">
        <v>0.5</v>
      </c>
      <c r="L345" s="13">
        <f t="shared" si="4"/>
        <v>0.66666666666666663</v>
      </c>
      <c r="M345" s="13">
        <f>N345/Sheet1!$B345</f>
        <v>0.54069767441860461</v>
      </c>
      <c r="N345" s="2">
        <f t="shared" si="3"/>
        <v>186</v>
      </c>
      <c r="O345" s="2">
        <f>IF(Sheet1!$H345="ted",1,0)</f>
        <v>0</v>
      </c>
    </row>
    <row r="346" spans="1:15" ht="15.75" customHeight="1" x14ac:dyDescent="0.2">
      <c r="A346" s="11">
        <v>44503</v>
      </c>
      <c r="B346" s="12">
        <f t="shared" si="2"/>
        <v>345</v>
      </c>
      <c r="C346" s="10" t="s">
        <v>87</v>
      </c>
      <c r="D346" s="10" t="s">
        <v>90</v>
      </c>
      <c r="E346" s="10">
        <v>1</v>
      </c>
      <c r="F346" s="10" t="s">
        <v>3</v>
      </c>
      <c r="G346" s="10">
        <v>3</v>
      </c>
      <c r="H346" s="10" t="s">
        <v>8</v>
      </c>
      <c r="I346" s="10">
        <v>0</v>
      </c>
      <c r="K346" s="2">
        <v>0.5</v>
      </c>
      <c r="L346" s="13">
        <f t="shared" si="4"/>
        <v>0.66666666666666663</v>
      </c>
      <c r="M346" s="13">
        <f>N346/Sheet1!$B346</f>
        <v>0.54202898550724643</v>
      </c>
      <c r="N346" s="2">
        <f t="shared" si="3"/>
        <v>187</v>
      </c>
      <c r="O346" s="2">
        <f>IF(Sheet1!$H346="ted",1,0)</f>
        <v>1</v>
      </c>
    </row>
    <row r="347" spans="1:15" ht="15.75" customHeight="1" x14ac:dyDescent="0.2">
      <c r="A347" s="11">
        <v>44503</v>
      </c>
      <c r="B347" s="12">
        <f t="shared" si="2"/>
        <v>346</v>
      </c>
      <c r="C347" s="10" t="s">
        <v>87</v>
      </c>
      <c r="D347" s="10" t="s">
        <v>59</v>
      </c>
      <c r="E347" s="10">
        <v>1</v>
      </c>
      <c r="F347" s="10" t="s">
        <v>3</v>
      </c>
      <c r="G347" s="10">
        <v>0</v>
      </c>
      <c r="H347" s="10" t="s">
        <v>8</v>
      </c>
      <c r="I347" s="10">
        <v>0</v>
      </c>
      <c r="K347" s="2">
        <v>0.5</v>
      </c>
      <c r="L347" s="13">
        <f t="shared" si="4"/>
        <v>0.66666666666666663</v>
      </c>
      <c r="M347" s="13">
        <f>N347/Sheet1!$B347</f>
        <v>0.54335260115606931</v>
      </c>
      <c r="N347" s="2">
        <f t="shared" si="3"/>
        <v>188</v>
      </c>
      <c r="O347" s="2">
        <f>IF(Sheet1!$H347="ted",1,0)</f>
        <v>1</v>
      </c>
    </row>
    <row r="348" spans="1:15" ht="15.75" customHeight="1" x14ac:dyDescent="0.2">
      <c r="A348" s="11">
        <v>44503</v>
      </c>
      <c r="B348" s="12">
        <f t="shared" si="2"/>
        <v>347</v>
      </c>
      <c r="C348" s="10" t="s">
        <v>87</v>
      </c>
      <c r="D348" s="10" t="s">
        <v>59</v>
      </c>
      <c r="E348" s="10">
        <v>0</v>
      </c>
      <c r="F348" s="10" t="s">
        <v>3</v>
      </c>
      <c r="G348" s="10">
        <v>1</v>
      </c>
      <c r="H348" s="10" t="s">
        <v>59</v>
      </c>
      <c r="I348" s="10">
        <v>0</v>
      </c>
      <c r="K348" s="2">
        <v>0.5</v>
      </c>
      <c r="L348" s="13">
        <f t="shared" si="4"/>
        <v>0.55555555555555558</v>
      </c>
      <c r="M348" s="13">
        <f>N348/Sheet1!$B348</f>
        <v>0.5417867435158501</v>
      </c>
      <c r="N348" s="2">
        <f t="shared" si="3"/>
        <v>188</v>
      </c>
      <c r="O348" s="2">
        <f>IF(Sheet1!$H348="ted",1,0)</f>
        <v>0</v>
      </c>
    </row>
    <row r="349" spans="1:15" ht="15.75" customHeight="1" x14ac:dyDescent="0.2">
      <c r="A349" s="11">
        <v>44503</v>
      </c>
      <c r="B349" s="12">
        <f t="shared" si="2"/>
        <v>348</v>
      </c>
      <c r="C349" s="10" t="s">
        <v>87</v>
      </c>
      <c r="D349" s="10" t="s">
        <v>59</v>
      </c>
      <c r="E349" s="10">
        <v>0</v>
      </c>
      <c r="F349" s="10" t="s">
        <v>3</v>
      </c>
      <c r="G349" s="10">
        <v>1</v>
      </c>
      <c r="H349" s="10" t="s">
        <v>59</v>
      </c>
      <c r="I349" s="10">
        <v>0</v>
      </c>
      <c r="K349" s="2">
        <v>0.5</v>
      </c>
      <c r="L349" s="13">
        <f t="shared" si="4"/>
        <v>0.44444444444444442</v>
      </c>
      <c r="M349" s="13">
        <f>N349/Sheet1!$B349</f>
        <v>0.54022988505747127</v>
      </c>
      <c r="N349" s="2">
        <f t="shared" si="3"/>
        <v>188</v>
      </c>
      <c r="O349" s="2">
        <f>IF(Sheet1!$H349="ted",1,0)</f>
        <v>0</v>
      </c>
    </row>
    <row r="350" spans="1:15" ht="15.75" customHeight="1" x14ac:dyDescent="0.2">
      <c r="A350" s="11">
        <v>44524</v>
      </c>
      <c r="B350" s="12">
        <f t="shared" si="2"/>
        <v>349</v>
      </c>
      <c r="C350" s="10" t="s">
        <v>92</v>
      </c>
      <c r="D350" s="10" t="s">
        <v>93</v>
      </c>
      <c r="E350" s="10">
        <v>1</v>
      </c>
      <c r="F350" s="10" t="s">
        <v>3</v>
      </c>
      <c r="G350" s="10">
        <v>1</v>
      </c>
      <c r="H350" s="10" t="s">
        <v>93</v>
      </c>
      <c r="I350" s="10">
        <v>0</v>
      </c>
      <c r="K350" s="2">
        <v>0.5</v>
      </c>
      <c r="L350" s="13">
        <f t="shared" si="4"/>
        <v>0.55555555555555558</v>
      </c>
      <c r="M350" s="13">
        <f>N350/Sheet1!$B350</f>
        <v>0.54154727793696278</v>
      </c>
      <c r="N350" s="2">
        <f t="shared" si="3"/>
        <v>189</v>
      </c>
      <c r="O350" s="2">
        <f>IF(Sheet1!$H350="ted",1,0)</f>
        <v>0</v>
      </c>
    </row>
    <row r="351" spans="1:15" ht="15.75" customHeight="1" x14ac:dyDescent="0.2">
      <c r="A351" s="11">
        <v>44525</v>
      </c>
      <c r="B351" s="12">
        <f t="shared" si="2"/>
        <v>350</v>
      </c>
      <c r="C351" s="10" t="s">
        <v>92</v>
      </c>
      <c r="D351" s="10" t="s">
        <v>94</v>
      </c>
      <c r="E351" s="10">
        <v>1</v>
      </c>
      <c r="F351" s="10" t="s">
        <v>3</v>
      </c>
      <c r="G351" s="10">
        <v>3</v>
      </c>
      <c r="H351" s="10" t="s">
        <v>94</v>
      </c>
      <c r="I351" s="10">
        <v>0</v>
      </c>
      <c r="K351" s="2">
        <v>0.5</v>
      </c>
      <c r="L351" s="13">
        <f t="shared" si="4"/>
        <v>0.55555555555555558</v>
      </c>
      <c r="M351" s="13">
        <f>N351/Sheet1!$B351</f>
        <v>0.54285714285714282</v>
      </c>
      <c r="N351" s="2">
        <f t="shared" si="3"/>
        <v>190</v>
      </c>
      <c r="O351" s="2">
        <f>IF(Sheet1!$H351="ted",1,0)</f>
        <v>0</v>
      </c>
    </row>
    <row r="352" spans="1:15" ht="15.75" customHeight="1" x14ac:dyDescent="0.2">
      <c r="A352" s="11">
        <v>44525</v>
      </c>
      <c r="B352" s="12">
        <f t="shared" si="2"/>
        <v>351</v>
      </c>
      <c r="C352" s="10" t="s">
        <v>92</v>
      </c>
      <c r="D352" s="10" t="s">
        <v>94</v>
      </c>
      <c r="E352" s="10">
        <v>1</v>
      </c>
      <c r="F352" s="10" t="s">
        <v>3</v>
      </c>
      <c r="G352" s="10">
        <v>0</v>
      </c>
      <c r="H352" s="10" t="s">
        <v>8</v>
      </c>
      <c r="I352" s="10">
        <v>0</v>
      </c>
      <c r="K352" s="2">
        <v>0.5</v>
      </c>
      <c r="L352" s="13">
        <f t="shared" si="4"/>
        <v>0.66666666666666663</v>
      </c>
      <c r="M352" s="13">
        <f>N352/Sheet1!$B352</f>
        <v>0.54415954415954415</v>
      </c>
      <c r="N352" s="2">
        <f t="shared" si="3"/>
        <v>191</v>
      </c>
      <c r="O352" s="2">
        <f>IF(Sheet1!$H352="ted",1,0)</f>
        <v>1</v>
      </c>
    </row>
    <row r="353" spans="1:15" ht="15.75" customHeight="1" x14ac:dyDescent="0.2">
      <c r="A353" s="11">
        <v>44525</v>
      </c>
      <c r="B353" s="12">
        <f t="shared" si="2"/>
        <v>352</v>
      </c>
      <c r="C353" s="10" t="s">
        <v>92</v>
      </c>
      <c r="D353" s="10" t="s">
        <v>95</v>
      </c>
      <c r="E353" s="10">
        <v>1</v>
      </c>
      <c r="F353" s="10" t="s">
        <v>3</v>
      </c>
      <c r="G353" s="10">
        <v>1</v>
      </c>
      <c r="H353" s="10" t="s">
        <v>8</v>
      </c>
      <c r="I353" s="10">
        <v>0</v>
      </c>
      <c r="K353" s="2">
        <v>0.5</v>
      </c>
      <c r="L353" s="13">
        <f t="shared" si="4"/>
        <v>0.77777777777777779</v>
      </c>
      <c r="M353" s="13">
        <f>N353/Sheet1!$B353</f>
        <v>0.54545454545454541</v>
      </c>
      <c r="N353" s="2">
        <f t="shared" si="3"/>
        <v>192</v>
      </c>
      <c r="O353" s="2">
        <f>IF(Sheet1!$H353="ted",1,0)</f>
        <v>1</v>
      </c>
    </row>
    <row r="354" spans="1:15" ht="15.75" customHeight="1" x14ac:dyDescent="0.2">
      <c r="A354" s="11">
        <v>44525</v>
      </c>
      <c r="B354" s="12">
        <f t="shared" si="2"/>
        <v>353</v>
      </c>
      <c r="C354" s="10" t="s">
        <v>92</v>
      </c>
      <c r="D354" s="10" t="s">
        <v>94</v>
      </c>
      <c r="E354" s="10">
        <v>1</v>
      </c>
      <c r="F354" s="10" t="s">
        <v>3</v>
      </c>
      <c r="G354" s="10">
        <v>1</v>
      </c>
      <c r="H354" s="10" t="s">
        <v>8</v>
      </c>
      <c r="I354" s="10">
        <v>0</v>
      </c>
      <c r="K354" s="2">
        <v>0.5</v>
      </c>
      <c r="L354" s="13">
        <f t="shared" si="4"/>
        <v>0.77777777777777779</v>
      </c>
      <c r="M354" s="13">
        <f>N354/Sheet1!$B354</f>
        <v>0.54674220963172804</v>
      </c>
      <c r="N354" s="2">
        <f t="shared" si="3"/>
        <v>193</v>
      </c>
      <c r="O354" s="2">
        <f>IF(Sheet1!$H354="ted",1,0)</f>
        <v>1</v>
      </c>
    </row>
    <row r="355" spans="1:15" ht="15.75" customHeight="1" x14ac:dyDescent="0.2">
      <c r="A355" s="11">
        <v>44525</v>
      </c>
      <c r="B355" s="12">
        <f t="shared" si="2"/>
        <v>354</v>
      </c>
      <c r="C355" s="10" t="s">
        <v>92</v>
      </c>
      <c r="D355" s="10" t="s">
        <v>94</v>
      </c>
      <c r="E355" s="10">
        <v>1</v>
      </c>
      <c r="F355" s="10" t="s">
        <v>3</v>
      </c>
      <c r="G355" s="10">
        <v>3</v>
      </c>
      <c r="H355" s="10" t="s">
        <v>8</v>
      </c>
      <c r="I355" s="10">
        <v>0</v>
      </c>
      <c r="K355" s="2">
        <v>0.5</v>
      </c>
      <c r="L355" s="13">
        <f t="shared" si="4"/>
        <v>0.77777777777777779</v>
      </c>
      <c r="M355" s="13">
        <f>N355/Sheet1!$B355</f>
        <v>0.54802259887005644</v>
      </c>
      <c r="N355" s="2">
        <f t="shared" si="3"/>
        <v>194</v>
      </c>
      <c r="O355" s="2">
        <f>IF(Sheet1!$H355="ted",1,0)</f>
        <v>1</v>
      </c>
    </row>
    <row r="356" spans="1:15" ht="15.75" customHeight="1" x14ac:dyDescent="0.2">
      <c r="A356" s="11">
        <v>44525</v>
      </c>
      <c r="B356" s="12">
        <f t="shared" si="2"/>
        <v>355</v>
      </c>
      <c r="C356" s="10" t="s">
        <v>92</v>
      </c>
      <c r="D356" s="10" t="s">
        <v>95</v>
      </c>
      <c r="E356" s="10">
        <v>1</v>
      </c>
      <c r="F356" s="10" t="s">
        <v>3</v>
      </c>
      <c r="G356" s="10">
        <v>2</v>
      </c>
      <c r="H356" s="10" t="s">
        <v>8</v>
      </c>
      <c r="I356" s="10">
        <v>0</v>
      </c>
      <c r="K356" s="2">
        <v>0.5</v>
      </c>
      <c r="L356" s="13">
        <f t="shared" si="4"/>
        <v>0.77777777777777779</v>
      </c>
      <c r="M356" s="13">
        <f>N356/Sheet1!$B356</f>
        <v>0.54929577464788737</v>
      </c>
      <c r="N356" s="2">
        <f t="shared" si="3"/>
        <v>195</v>
      </c>
      <c r="O356" s="2">
        <f>IF(Sheet1!$H356="ted",1,0)</f>
        <v>1</v>
      </c>
    </row>
    <row r="357" spans="1:15" ht="15.75" customHeight="1" x14ac:dyDescent="0.2">
      <c r="A357" s="11">
        <v>44525</v>
      </c>
      <c r="B357" s="12">
        <f t="shared" si="2"/>
        <v>356</v>
      </c>
      <c r="C357" s="10" t="s">
        <v>92</v>
      </c>
      <c r="D357" s="10" t="s">
        <v>94</v>
      </c>
      <c r="E357" s="10">
        <v>1</v>
      </c>
      <c r="F357" s="10" t="s">
        <v>3</v>
      </c>
      <c r="G357" s="10">
        <v>1</v>
      </c>
      <c r="H357" s="10" t="s">
        <v>94</v>
      </c>
      <c r="I357" s="10">
        <v>0</v>
      </c>
      <c r="K357" s="2">
        <v>0.5</v>
      </c>
      <c r="L357" s="13">
        <f t="shared" si="4"/>
        <v>0.88888888888888884</v>
      </c>
      <c r="M357" s="13">
        <f>N357/Sheet1!$B357</f>
        <v>0.550561797752809</v>
      </c>
      <c r="N357" s="2">
        <f t="shared" si="3"/>
        <v>196</v>
      </c>
      <c r="O357" s="2">
        <f>IF(Sheet1!$H357="ted",1,0)</f>
        <v>0</v>
      </c>
    </row>
    <row r="358" spans="1:15" ht="15.75" customHeight="1" x14ac:dyDescent="0.2">
      <c r="A358" s="11">
        <v>44548</v>
      </c>
      <c r="B358" s="12">
        <f t="shared" si="2"/>
        <v>357</v>
      </c>
      <c r="C358" s="10" t="s">
        <v>87</v>
      </c>
      <c r="D358" s="10" t="s">
        <v>59</v>
      </c>
      <c r="E358" s="10">
        <v>0</v>
      </c>
      <c r="F358" s="10" t="s">
        <v>3</v>
      </c>
      <c r="G358" s="10">
        <v>1</v>
      </c>
      <c r="H358" s="10" t="s">
        <v>59</v>
      </c>
      <c r="I358" s="10">
        <v>0</v>
      </c>
      <c r="K358" s="2">
        <v>0.5</v>
      </c>
      <c r="L358" s="13">
        <f t="shared" si="4"/>
        <v>0.88888888888888884</v>
      </c>
      <c r="M358" s="13">
        <f>N358/Sheet1!$B358</f>
        <v>0.5490196078431373</v>
      </c>
      <c r="N358" s="2">
        <f t="shared" si="3"/>
        <v>196</v>
      </c>
      <c r="O358" s="2">
        <f>IF(Sheet1!$H358="ted",1,0)</f>
        <v>0</v>
      </c>
    </row>
    <row r="359" spans="1:15" ht="15.75" customHeight="1" x14ac:dyDescent="0.2">
      <c r="A359" s="11">
        <v>44548</v>
      </c>
      <c r="B359" s="12">
        <f t="shared" si="2"/>
        <v>358</v>
      </c>
      <c r="C359" s="10" t="s">
        <v>87</v>
      </c>
      <c r="D359" s="10" t="s">
        <v>59</v>
      </c>
      <c r="E359" s="10">
        <v>0</v>
      </c>
      <c r="F359" s="10" t="s">
        <v>3</v>
      </c>
      <c r="G359" s="10">
        <v>6</v>
      </c>
      <c r="H359" s="10" t="s">
        <v>59</v>
      </c>
      <c r="I359" s="10">
        <v>0</v>
      </c>
      <c r="K359" s="2">
        <v>0.5</v>
      </c>
      <c r="L359" s="13">
        <f t="shared" si="4"/>
        <v>0.77777777777777779</v>
      </c>
      <c r="M359" s="13">
        <f>N359/Sheet1!$B359</f>
        <v>0.54748603351955305</v>
      </c>
      <c r="N359" s="2">
        <f t="shared" si="3"/>
        <v>196</v>
      </c>
      <c r="O359" s="2">
        <f>IF(Sheet1!$H359="ted",1,0)</f>
        <v>0</v>
      </c>
    </row>
    <row r="360" spans="1:15" ht="15.75" customHeight="1" x14ac:dyDescent="0.2">
      <c r="A360" s="11">
        <v>44559</v>
      </c>
      <c r="B360" s="12">
        <f t="shared" si="2"/>
        <v>359</v>
      </c>
      <c r="C360" s="10" t="s">
        <v>87</v>
      </c>
      <c r="D360" s="10" t="s">
        <v>59</v>
      </c>
      <c r="E360" s="10">
        <v>0</v>
      </c>
      <c r="F360" s="10" t="s">
        <v>3</v>
      </c>
      <c r="G360" s="10">
        <v>1</v>
      </c>
      <c r="H360" s="10" t="s">
        <v>59</v>
      </c>
      <c r="I360" s="10">
        <v>0</v>
      </c>
      <c r="K360" s="2">
        <v>0.5</v>
      </c>
      <c r="L360" s="13">
        <f t="shared" si="4"/>
        <v>0.66666666666666663</v>
      </c>
      <c r="M360" s="13">
        <f>N360/Sheet1!$B360</f>
        <v>0.54596100278551529</v>
      </c>
      <c r="N360" s="2">
        <f t="shared" si="3"/>
        <v>196</v>
      </c>
      <c r="O360" s="2">
        <f>IF(Sheet1!$H360="ted",1,0)</f>
        <v>0</v>
      </c>
    </row>
    <row r="361" spans="1:15" ht="15.75" customHeight="1" x14ac:dyDescent="0.2">
      <c r="A361" s="11">
        <v>44559</v>
      </c>
      <c r="B361" s="12">
        <f t="shared" si="2"/>
        <v>360</v>
      </c>
      <c r="C361" s="10" t="s">
        <v>87</v>
      </c>
      <c r="D361" s="10" t="s">
        <v>59</v>
      </c>
      <c r="E361" s="10">
        <v>0</v>
      </c>
      <c r="F361" s="10" t="s">
        <v>3</v>
      </c>
      <c r="G361" s="10">
        <v>2</v>
      </c>
      <c r="H361" s="10" t="s">
        <v>59</v>
      </c>
      <c r="I361" s="10">
        <v>0</v>
      </c>
      <c r="K361" s="2">
        <v>0.5</v>
      </c>
      <c r="L361" s="13">
        <f t="shared" si="4"/>
        <v>0.55555555555555558</v>
      </c>
      <c r="M361" s="13">
        <f>N361/Sheet1!$B361</f>
        <v>0.5444444444444444</v>
      </c>
      <c r="N361" s="2">
        <f t="shared" si="3"/>
        <v>196</v>
      </c>
      <c r="O361" s="2">
        <f>IF(Sheet1!$H361="ted",1,0)</f>
        <v>0</v>
      </c>
    </row>
    <row r="362" spans="1:15" ht="15.75" customHeight="1" x14ac:dyDescent="0.2">
      <c r="A362" s="11">
        <v>44559</v>
      </c>
      <c r="B362" s="12">
        <f t="shared" si="2"/>
        <v>361</v>
      </c>
      <c r="C362" s="10" t="s">
        <v>87</v>
      </c>
      <c r="D362" s="10" t="s">
        <v>59</v>
      </c>
      <c r="E362" s="10">
        <v>1</v>
      </c>
      <c r="F362" s="10" t="s">
        <v>3</v>
      </c>
      <c r="G362" s="10">
        <v>5</v>
      </c>
      <c r="H362" s="10" t="s">
        <v>59</v>
      </c>
      <c r="I362" s="10">
        <v>0</v>
      </c>
      <c r="K362" s="2">
        <v>0.5</v>
      </c>
      <c r="L362" s="13">
        <f t="shared" si="4"/>
        <v>0.55555555555555558</v>
      </c>
      <c r="M362" s="13">
        <f>N362/Sheet1!$B362</f>
        <v>0.54570637119113574</v>
      </c>
      <c r="N362" s="2">
        <f t="shared" si="3"/>
        <v>197</v>
      </c>
      <c r="O362" s="2">
        <f>IF(Sheet1!$H362="ted",1,0)</f>
        <v>0</v>
      </c>
    </row>
    <row r="363" spans="1:15" ht="15.75" customHeight="1" x14ac:dyDescent="0.2">
      <c r="A363" s="11">
        <v>44559</v>
      </c>
      <c r="B363" s="12">
        <f t="shared" si="2"/>
        <v>362</v>
      </c>
      <c r="C363" s="10" t="s">
        <v>87</v>
      </c>
      <c r="D363" s="10" t="s">
        <v>59</v>
      </c>
      <c r="E363" s="10">
        <v>1</v>
      </c>
      <c r="F363" s="10" t="s">
        <v>3</v>
      </c>
      <c r="G363" s="10">
        <v>2</v>
      </c>
      <c r="H363" s="10" t="s">
        <v>8</v>
      </c>
      <c r="I363" s="10">
        <v>0</v>
      </c>
      <c r="K363" s="2">
        <v>0.5</v>
      </c>
      <c r="L363" s="13">
        <f t="shared" si="4"/>
        <v>0.55555555555555558</v>
      </c>
      <c r="M363" s="13">
        <f>N363/Sheet1!$B363</f>
        <v>0.54696132596685088</v>
      </c>
      <c r="N363" s="2">
        <f t="shared" si="3"/>
        <v>198</v>
      </c>
      <c r="O363" s="2">
        <f>IF(Sheet1!$H363="ted",1,0)</f>
        <v>1</v>
      </c>
    </row>
    <row r="364" spans="1:15" ht="15.75" customHeight="1" x14ac:dyDescent="0.2">
      <c r="A364" s="11">
        <v>44559</v>
      </c>
      <c r="B364" s="12">
        <f t="shared" si="2"/>
        <v>363</v>
      </c>
      <c r="C364" s="10" t="s">
        <v>87</v>
      </c>
      <c r="D364" s="10" t="s">
        <v>59</v>
      </c>
      <c r="E364" s="10">
        <v>0</v>
      </c>
      <c r="F364" s="10" t="s">
        <v>96</v>
      </c>
      <c r="G364" s="10">
        <v>0</v>
      </c>
      <c r="H364" s="10" t="s">
        <v>8</v>
      </c>
      <c r="I364" s="10">
        <v>0</v>
      </c>
      <c r="K364" s="2">
        <v>0.5</v>
      </c>
      <c r="L364" s="13">
        <f t="shared" si="4"/>
        <v>0.44444444444444442</v>
      </c>
      <c r="M364" s="13">
        <f>N364/Sheet1!$B364</f>
        <v>0.54545454545454541</v>
      </c>
      <c r="N364" s="2">
        <f t="shared" si="3"/>
        <v>198</v>
      </c>
      <c r="O364" s="2">
        <f>IF(Sheet1!$H364="ted",1,0)</f>
        <v>1</v>
      </c>
    </row>
    <row r="365" spans="1:15" ht="15.75" customHeight="1" x14ac:dyDescent="0.2">
      <c r="A365" s="11">
        <v>44559</v>
      </c>
      <c r="B365" s="12">
        <f t="shared" si="2"/>
        <v>364</v>
      </c>
      <c r="C365" s="10" t="s">
        <v>87</v>
      </c>
      <c r="D365" s="10" t="s">
        <v>59</v>
      </c>
      <c r="E365" s="10">
        <v>0</v>
      </c>
      <c r="F365" s="10" t="s">
        <v>3</v>
      </c>
      <c r="G365" s="10">
        <v>0</v>
      </c>
      <c r="H365" s="10" t="s">
        <v>59</v>
      </c>
      <c r="I365" s="10">
        <v>0</v>
      </c>
      <c r="K365" s="2">
        <v>0.5</v>
      </c>
      <c r="L365" s="13">
        <f t="shared" si="4"/>
        <v>0.33333333333333331</v>
      </c>
      <c r="M365" s="13">
        <f>N365/Sheet1!$B365</f>
        <v>0.54395604395604391</v>
      </c>
      <c r="N365" s="2">
        <f t="shared" si="3"/>
        <v>198</v>
      </c>
      <c r="O365" s="2">
        <f>IF(Sheet1!$H365="ted",1,0)</f>
        <v>0</v>
      </c>
    </row>
    <row r="366" spans="1:15" ht="15.75" customHeight="1" x14ac:dyDescent="0.2">
      <c r="A366" s="11">
        <v>44576</v>
      </c>
      <c r="B366" s="12">
        <f t="shared" si="2"/>
        <v>365</v>
      </c>
      <c r="C366" s="10" t="s">
        <v>87</v>
      </c>
      <c r="D366" s="10" t="s">
        <v>59</v>
      </c>
      <c r="E366" s="10">
        <v>1</v>
      </c>
      <c r="F366" s="10" t="s">
        <v>3</v>
      </c>
      <c r="G366" s="10">
        <v>3</v>
      </c>
      <c r="H366" s="10" t="s">
        <v>8</v>
      </c>
      <c r="I366" s="10">
        <v>0</v>
      </c>
      <c r="K366" s="2">
        <v>0.5</v>
      </c>
      <c r="L366" s="13">
        <f t="shared" si="4"/>
        <v>0.33333333333333331</v>
      </c>
      <c r="M366" s="13">
        <f>N366/Sheet1!$B366</f>
        <v>0.54520547945205478</v>
      </c>
      <c r="N366" s="2">
        <f t="shared" si="3"/>
        <v>199</v>
      </c>
      <c r="O366" s="2">
        <f>IF(Sheet1!$H366="ted",1,0)</f>
        <v>1</v>
      </c>
    </row>
    <row r="367" spans="1:15" ht="15.75" customHeight="1" x14ac:dyDescent="0.2">
      <c r="A367" s="11">
        <v>44576</v>
      </c>
      <c r="B367" s="12">
        <f t="shared" si="2"/>
        <v>366</v>
      </c>
      <c r="C367" s="10" t="s">
        <v>87</v>
      </c>
      <c r="D367" s="10" t="s">
        <v>59</v>
      </c>
      <c r="E367" s="10">
        <v>1</v>
      </c>
      <c r="F367" s="10" t="s">
        <v>3</v>
      </c>
      <c r="G367" s="10">
        <v>2</v>
      </c>
      <c r="H367" s="10" t="s">
        <v>8</v>
      </c>
      <c r="I367" s="10">
        <v>0</v>
      </c>
      <c r="K367" s="2">
        <v>0.5</v>
      </c>
      <c r="L367" s="13">
        <f t="shared" si="4"/>
        <v>0.44444444444444442</v>
      </c>
      <c r="M367" s="13">
        <f>N367/Sheet1!$B367</f>
        <v>0.54644808743169404</v>
      </c>
      <c r="N367" s="2">
        <f t="shared" si="3"/>
        <v>200</v>
      </c>
      <c r="O367" s="2">
        <f>IF(Sheet1!$H367="ted",1,0)</f>
        <v>1</v>
      </c>
    </row>
    <row r="368" spans="1:15" ht="15.75" customHeight="1" x14ac:dyDescent="0.2">
      <c r="A368" s="11">
        <v>44576</v>
      </c>
      <c r="B368" s="12">
        <f t="shared" si="2"/>
        <v>367</v>
      </c>
      <c r="C368" s="10" t="s">
        <v>87</v>
      </c>
      <c r="D368" s="10" t="s">
        <v>59</v>
      </c>
      <c r="E368" s="10">
        <v>0</v>
      </c>
      <c r="F368" s="10" t="s">
        <v>3</v>
      </c>
      <c r="G368" s="10">
        <v>0</v>
      </c>
      <c r="H368" s="10" t="s">
        <v>8</v>
      </c>
      <c r="I368" s="10">
        <v>0</v>
      </c>
      <c r="K368" s="2">
        <v>0.5</v>
      </c>
      <c r="L368" s="13">
        <f t="shared" si="4"/>
        <v>0.44444444444444442</v>
      </c>
      <c r="M368" s="13">
        <f>N368/Sheet1!$B368</f>
        <v>0.54495912806539515</v>
      </c>
      <c r="N368" s="2">
        <f t="shared" si="3"/>
        <v>200</v>
      </c>
      <c r="O368" s="2">
        <f>IF(Sheet1!$H368="ted",1,0)</f>
        <v>1</v>
      </c>
    </row>
    <row r="369" spans="1:15" ht="15.75" customHeight="1" x14ac:dyDescent="0.2">
      <c r="A369" s="11">
        <v>44576</v>
      </c>
      <c r="B369" s="12">
        <f t="shared" si="2"/>
        <v>368</v>
      </c>
      <c r="C369" s="10" t="s">
        <v>87</v>
      </c>
      <c r="D369" s="10" t="s">
        <v>59</v>
      </c>
      <c r="E369" s="10">
        <v>0</v>
      </c>
      <c r="F369" s="10" t="s">
        <v>3</v>
      </c>
      <c r="G369" s="10">
        <v>1</v>
      </c>
      <c r="H369" s="10" t="s">
        <v>59</v>
      </c>
      <c r="I369" s="10">
        <v>0</v>
      </c>
      <c r="K369" s="2">
        <v>0.5</v>
      </c>
      <c r="L369" s="13">
        <f t="shared" si="4"/>
        <v>0.44444444444444442</v>
      </c>
      <c r="M369" s="13">
        <f>N369/Sheet1!$B369</f>
        <v>0.54347826086956519</v>
      </c>
      <c r="N369" s="2">
        <f t="shared" si="3"/>
        <v>200</v>
      </c>
      <c r="O369" s="2">
        <f>IF(Sheet1!$H369="ted",1,0)</f>
        <v>0</v>
      </c>
    </row>
    <row r="370" spans="1:15" ht="15.75" customHeight="1" x14ac:dyDescent="0.2">
      <c r="A370" s="11">
        <v>44576</v>
      </c>
      <c r="B370" s="12">
        <f t="shared" si="2"/>
        <v>369</v>
      </c>
      <c r="C370" s="10" t="s">
        <v>87</v>
      </c>
      <c r="D370" s="10" t="s">
        <v>59</v>
      </c>
      <c r="E370" s="10">
        <v>1</v>
      </c>
      <c r="F370" s="10" t="s">
        <v>3</v>
      </c>
      <c r="G370" s="10">
        <v>0</v>
      </c>
      <c r="H370" s="10" t="s">
        <v>59</v>
      </c>
      <c r="I370" s="10">
        <v>0</v>
      </c>
      <c r="K370" s="2">
        <v>0.5</v>
      </c>
      <c r="L370" s="13">
        <f t="shared" si="4"/>
        <v>0.55555555555555558</v>
      </c>
      <c r="M370" s="13">
        <f>N370/Sheet1!$B370</f>
        <v>0.54471544715447151</v>
      </c>
      <c r="N370" s="2">
        <f t="shared" si="3"/>
        <v>201</v>
      </c>
      <c r="O370" s="2">
        <f>IF(Sheet1!$H370="ted",1,0)</f>
        <v>0</v>
      </c>
    </row>
    <row r="371" spans="1:15" ht="15.75" customHeight="1" x14ac:dyDescent="0.2">
      <c r="A371" s="11">
        <v>44576</v>
      </c>
      <c r="B371" s="12">
        <f t="shared" si="2"/>
        <v>370</v>
      </c>
      <c r="C371" s="10" t="s">
        <v>87</v>
      </c>
      <c r="D371" s="10" t="s">
        <v>59</v>
      </c>
      <c r="E371" s="10">
        <v>0</v>
      </c>
      <c r="F371" s="10" t="s">
        <v>2</v>
      </c>
      <c r="G371" s="10">
        <v>1</v>
      </c>
      <c r="H371" s="10" t="s">
        <v>8</v>
      </c>
      <c r="I371" s="10">
        <v>5</v>
      </c>
      <c r="K371" s="2">
        <v>0.5</v>
      </c>
      <c r="L371" s="13">
        <f t="shared" si="4"/>
        <v>0.44444444444444442</v>
      </c>
      <c r="M371" s="13">
        <f>N371/Sheet1!$B371</f>
        <v>0.54324324324324325</v>
      </c>
      <c r="N371" s="2">
        <f t="shared" si="3"/>
        <v>201</v>
      </c>
      <c r="O371" s="2">
        <f>IF(Sheet1!$H371="ted",1,0)</f>
        <v>1</v>
      </c>
    </row>
    <row r="372" spans="1:15" ht="15.75" customHeight="1" x14ac:dyDescent="0.2">
      <c r="A372" s="11">
        <v>44576</v>
      </c>
      <c r="B372" s="12">
        <f t="shared" si="2"/>
        <v>371</v>
      </c>
      <c r="C372" s="10" t="s">
        <v>87</v>
      </c>
      <c r="D372" s="10" t="s">
        <v>59</v>
      </c>
      <c r="E372" s="10">
        <v>1</v>
      </c>
      <c r="F372" s="10" t="s">
        <v>3</v>
      </c>
      <c r="G372" s="10">
        <v>1</v>
      </c>
      <c r="H372" s="10" t="s">
        <v>59</v>
      </c>
      <c r="I372" s="10">
        <v>0</v>
      </c>
      <c r="K372" s="2">
        <v>0.5</v>
      </c>
      <c r="L372" s="13">
        <f t="shared" si="4"/>
        <v>0.44444444444444442</v>
      </c>
      <c r="M372" s="13">
        <f>N372/Sheet1!$B372</f>
        <v>0.54447439353099736</v>
      </c>
      <c r="N372" s="2">
        <f t="shared" si="3"/>
        <v>202</v>
      </c>
      <c r="O372" s="2">
        <f>IF(Sheet1!$H372="ted",1,0)</f>
        <v>0</v>
      </c>
    </row>
    <row r="373" spans="1:15" ht="15.75" customHeight="1" x14ac:dyDescent="0.2">
      <c r="A373" s="11">
        <v>44576</v>
      </c>
      <c r="B373" s="12">
        <f t="shared" si="2"/>
        <v>372</v>
      </c>
      <c r="C373" s="10" t="s">
        <v>87</v>
      </c>
      <c r="D373" s="10" t="s">
        <v>59</v>
      </c>
      <c r="E373" s="10">
        <v>1</v>
      </c>
      <c r="F373" s="10" t="s">
        <v>3</v>
      </c>
      <c r="G373" s="10">
        <v>1</v>
      </c>
      <c r="H373" s="10" t="s">
        <v>8</v>
      </c>
      <c r="I373" s="10">
        <v>0</v>
      </c>
      <c r="K373" s="2">
        <v>0.5</v>
      </c>
      <c r="L373" s="13">
        <f t="shared" si="4"/>
        <v>0.55555555555555558</v>
      </c>
      <c r="M373" s="13">
        <f>N373/Sheet1!$B373</f>
        <v>0.54569892473118276</v>
      </c>
      <c r="N373" s="2">
        <f t="shared" si="3"/>
        <v>203</v>
      </c>
      <c r="O373" s="2">
        <f>IF(Sheet1!$H373="ted",1,0)</f>
        <v>1</v>
      </c>
    </row>
    <row r="374" spans="1:15" ht="15.75" customHeight="1" x14ac:dyDescent="0.2">
      <c r="A374" s="11">
        <v>44576</v>
      </c>
      <c r="B374" s="12">
        <f t="shared" si="2"/>
        <v>373</v>
      </c>
      <c r="C374" s="10" t="s">
        <v>87</v>
      </c>
      <c r="D374" s="10" t="s">
        <v>59</v>
      </c>
      <c r="E374" s="10">
        <v>0</v>
      </c>
      <c r="F374" s="10" t="s">
        <v>3</v>
      </c>
      <c r="G374" s="10">
        <v>1</v>
      </c>
      <c r="H374" s="10" t="s">
        <v>8</v>
      </c>
      <c r="I374" s="10">
        <v>0</v>
      </c>
      <c r="K374" s="2">
        <v>0.5</v>
      </c>
      <c r="L374" s="13">
        <f t="shared" si="4"/>
        <v>0.55555555555555558</v>
      </c>
      <c r="M374" s="13">
        <f>N374/Sheet1!$B374</f>
        <v>0.5442359249329759</v>
      </c>
      <c r="N374" s="2">
        <f t="shared" si="3"/>
        <v>203</v>
      </c>
      <c r="O374" s="2">
        <f>IF(Sheet1!$H374="ted",1,0)</f>
        <v>1</v>
      </c>
    </row>
    <row r="375" spans="1:15" ht="15.75" customHeight="1" x14ac:dyDescent="0.2">
      <c r="A375" s="11">
        <v>44576</v>
      </c>
      <c r="B375" s="12">
        <f t="shared" si="2"/>
        <v>374</v>
      </c>
      <c r="C375" s="10" t="s">
        <v>87</v>
      </c>
      <c r="D375" s="10" t="s">
        <v>59</v>
      </c>
      <c r="E375" s="10">
        <v>1</v>
      </c>
      <c r="F375" s="10" t="s">
        <v>3</v>
      </c>
      <c r="G375" s="10">
        <v>0</v>
      </c>
      <c r="H375" s="10" t="s">
        <v>59</v>
      </c>
      <c r="I375" s="10">
        <v>0</v>
      </c>
      <c r="K375" s="2">
        <v>0.5</v>
      </c>
      <c r="L375" s="13">
        <f t="shared" si="4"/>
        <v>0.55555555555555558</v>
      </c>
      <c r="M375" s="13">
        <f>N375/Sheet1!$B375</f>
        <v>0.54545454545454541</v>
      </c>
      <c r="N375" s="2">
        <f t="shared" si="3"/>
        <v>204</v>
      </c>
      <c r="O375" s="2">
        <f>IF(Sheet1!$H375="ted",1,0)</f>
        <v>0</v>
      </c>
    </row>
    <row r="376" spans="1:15" ht="15.75" customHeight="1" x14ac:dyDescent="0.2">
      <c r="A376" s="11">
        <v>44576</v>
      </c>
      <c r="B376" s="12">
        <f t="shared" si="2"/>
        <v>375</v>
      </c>
      <c r="C376" s="10" t="s">
        <v>87</v>
      </c>
      <c r="D376" s="10" t="s">
        <v>59</v>
      </c>
      <c r="E376" s="10">
        <v>1</v>
      </c>
      <c r="F376" s="10" t="s">
        <v>3</v>
      </c>
      <c r="G376" s="10">
        <v>1</v>
      </c>
      <c r="H376" s="10" t="s">
        <v>59</v>
      </c>
      <c r="I376" s="10">
        <v>0</v>
      </c>
      <c r="K376" s="2">
        <v>0.5</v>
      </c>
      <c r="L376" s="13">
        <f t="shared" si="4"/>
        <v>0.55555555555555558</v>
      </c>
      <c r="M376" s="13">
        <f>N376/Sheet1!$B376</f>
        <v>0.54666666666666663</v>
      </c>
      <c r="N376" s="2">
        <f t="shared" si="3"/>
        <v>205</v>
      </c>
      <c r="O376" s="2">
        <f>IF(Sheet1!$H376="ted",1,0)</f>
        <v>0</v>
      </c>
    </row>
    <row r="377" spans="1:15" ht="15.75" customHeight="1" x14ac:dyDescent="0.2">
      <c r="A377" s="11">
        <v>44576</v>
      </c>
      <c r="B377" s="12">
        <f t="shared" si="2"/>
        <v>376</v>
      </c>
      <c r="C377" s="10" t="s">
        <v>87</v>
      </c>
      <c r="D377" s="10" t="s">
        <v>59</v>
      </c>
      <c r="E377" s="10">
        <v>1</v>
      </c>
      <c r="F377" s="10" t="s">
        <v>4</v>
      </c>
      <c r="G377" s="10">
        <v>0</v>
      </c>
      <c r="H377" s="10" t="s">
        <v>8</v>
      </c>
      <c r="I377" s="10">
        <v>4</v>
      </c>
      <c r="K377" s="2">
        <v>0.5</v>
      </c>
      <c r="L377" s="13">
        <f t="shared" si="4"/>
        <v>0.66666666666666663</v>
      </c>
      <c r="M377" s="13">
        <f>N377/Sheet1!$B377</f>
        <v>0.5478723404255319</v>
      </c>
      <c r="N377" s="2">
        <f t="shared" si="3"/>
        <v>206</v>
      </c>
      <c r="O377" s="2">
        <f>IF(Sheet1!$H377="ted",1,0)</f>
        <v>1</v>
      </c>
    </row>
    <row r="378" spans="1:15" ht="15.75" customHeight="1" x14ac:dyDescent="0.2">
      <c r="A378" s="11">
        <v>44576</v>
      </c>
      <c r="B378" s="12">
        <f t="shared" si="2"/>
        <v>377</v>
      </c>
      <c r="C378" s="10" t="s">
        <v>87</v>
      </c>
      <c r="D378" s="10" t="s">
        <v>59</v>
      </c>
      <c r="E378" s="10">
        <v>1</v>
      </c>
      <c r="F378" s="10" t="s">
        <v>3</v>
      </c>
      <c r="G378" s="10">
        <v>1</v>
      </c>
      <c r="H378" s="10" t="s">
        <v>8</v>
      </c>
      <c r="I378" s="10">
        <v>0</v>
      </c>
      <c r="K378" s="2">
        <v>0.5</v>
      </c>
      <c r="L378" s="13">
        <f t="shared" si="4"/>
        <v>0.77777777777777779</v>
      </c>
      <c r="M378" s="13">
        <f>N378/Sheet1!$B378</f>
        <v>0.54907161803713533</v>
      </c>
      <c r="N378" s="2">
        <f t="shared" si="3"/>
        <v>207</v>
      </c>
      <c r="O378" s="2">
        <f>IF(Sheet1!$H378="ted",1,0)</f>
        <v>1</v>
      </c>
    </row>
    <row r="379" spans="1:15" ht="15.75" customHeight="1" x14ac:dyDescent="0.2">
      <c r="A379" s="11">
        <v>44593</v>
      </c>
      <c r="B379" s="12">
        <f t="shared" si="2"/>
        <v>378</v>
      </c>
      <c r="C379" s="10" t="s">
        <v>87</v>
      </c>
      <c r="D379" s="10" t="s">
        <v>59</v>
      </c>
      <c r="E379" s="10">
        <v>0</v>
      </c>
      <c r="F379" s="10" t="s">
        <v>3</v>
      </c>
      <c r="G379" s="10">
        <v>2</v>
      </c>
      <c r="H379" s="10" t="s">
        <v>59</v>
      </c>
      <c r="I379" s="10">
        <v>0</v>
      </c>
      <c r="K379" s="2">
        <v>0.5</v>
      </c>
      <c r="L379" s="13">
        <f t="shared" si="4"/>
        <v>0.66666666666666663</v>
      </c>
      <c r="M379" s="13">
        <f>N379/Sheet1!$B379</f>
        <v>0.54761904761904767</v>
      </c>
      <c r="N379" s="2">
        <f t="shared" si="3"/>
        <v>207</v>
      </c>
      <c r="O379" s="2">
        <f>IF(Sheet1!$H379="ted",1,0)</f>
        <v>0</v>
      </c>
    </row>
    <row r="380" spans="1:15" ht="15.75" customHeight="1" x14ac:dyDescent="0.2">
      <c r="A380" s="11">
        <v>44593</v>
      </c>
      <c r="B380" s="12">
        <f t="shared" si="2"/>
        <v>379</v>
      </c>
      <c r="C380" s="10" t="s">
        <v>87</v>
      </c>
      <c r="D380" s="10" t="s">
        <v>59</v>
      </c>
      <c r="E380" s="10">
        <v>1</v>
      </c>
      <c r="F380" s="10" t="s">
        <v>3</v>
      </c>
      <c r="G380" s="10">
        <v>1</v>
      </c>
      <c r="H380" s="10" t="s">
        <v>8</v>
      </c>
      <c r="I380" s="10">
        <v>0</v>
      </c>
      <c r="K380" s="2">
        <v>0.5</v>
      </c>
      <c r="L380" s="13">
        <f t="shared" si="4"/>
        <v>0.77777777777777779</v>
      </c>
      <c r="M380" s="13">
        <f>N380/Sheet1!$B380</f>
        <v>0.54881266490765168</v>
      </c>
      <c r="N380" s="2">
        <f t="shared" si="3"/>
        <v>208</v>
      </c>
      <c r="O380" s="2">
        <f>IF(Sheet1!$H380="ted",1,0)</f>
        <v>1</v>
      </c>
    </row>
    <row r="381" spans="1:15" ht="15.75" customHeight="1" x14ac:dyDescent="0.2">
      <c r="A381" s="11">
        <v>44593</v>
      </c>
      <c r="B381" s="12">
        <f t="shared" si="2"/>
        <v>380</v>
      </c>
      <c r="C381" s="10" t="s">
        <v>87</v>
      </c>
      <c r="D381" s="10" t="s">
        <v>59</v>
      </c>
      <c r="E381" s="10">
        <v>1</v>
      </c>
      <c r="F381" s="10" t="s">
        <v>3</v>
      </c>
      <c r="G381" s="10">
        <v>1</v>
      </c>
      <c r="H381" s="10" t="s">
        <v>8</v>
      </c>
      <c r="I381" s="10">
        <v>0</v>
      </c>
      <c r="K381" s="2">
        <v>0.5</v>
      </c>
      <c r="L381" s="13">
        <f t="shared" si="4"/>
        <v>0.77777777777777779</v>
      </c>
      <c r="M381" s="13">
        <f>N381/Sheet1!$B381</f>
        <v>0.55000000000000004</v>
      </c>
      <c r="N381" s="2">
        <f t="shared" si="3"/>
        <v>209</v>
      </c>
      <c r="O381" s="2">
        <f>IF(Sheet1!$H381="ted",1,0)</f>
        <v>1</v>
      </c>
    </row>
    <row r="382" spans="1:15" ht="15.75" customHeight="1" x14ac:dyDescent="0.2">
      <c r="A382" s="11">
        <v>44593</v>
      </c>
      <c r="B382" s="12">
        <f t="shared" si="2"/>
        <v>381</v>
      </c>
      <c r="C382" s="10" t="s">
        <v>87</v>
      </c>
      <c r="D382" s="10" t="s">
        <v>59</v>
      </c>
      <c r="E382" s="10">
        <v>0</v>
      </c>
      <c r="F382" s="10" t="s">
        <v>3</v>
      </c>
      <c r="G382" s="10">
        <v>2</v>
      </c>
      <c r="H382" s="10" t="s">
        <v>59</v>
      </c>
      <c r="I382" s="10">
        <v>0</v>
      </c>
      <c r="K382" s="2">
        <v>0.5</v>
      </c>
      <c r="L382" s="13">
        <f t="shared" si="4"/>
        <v>0.66666666666666663</v>
      </c>
      <c r="M382" s="13">
        <f>N382/Sheet1!$B382</f>
        <v>0.54855643044619418</v>
      </c>
      <c r="N382" s="2">
        <f t="shared" si="3"/>
        <v>209</v>
      </c>
      <c r="O382" s="2">
        <f>IF(Sheet1!$H382="ted",1,0)</f>
        <v>0</v>
      </c>
    </row>
    <row r="383" spans="1:15" ht="15.75" customHeight="1" x14ac:dyDescent="0.2">
      <c r="A383" s="11">
        <v>44596</v>
      </c>
      <c r="B383" s="12">
        <f t="shared" si="2"/>
        <v>382</v>
      </c>
      <c r="C383" s="10" t="s">
        <v>87</v>
      </c>
      <c r="D383" s="10" t="s">
        <v>59</v>
      </c>
      <c r="E383" s="10">
        <v>0</v>
      </c>
      <c r="F383" s="10" t="s">
        <v>3</v>
      </c>
      <c r="G383" s="10">
        <v>0</v>
      </c>
      <c r="H383" s="10" t="s">
        <v>59</v>
      </c>
      <c r="I383" s="10">
        <v>0</v>
      </c>
      <c r="K383" s="2">
        <v>0.5</v>
      </c>
      <c r="L383" s="13">
        <f t="shared" si="4"/>
        <v>0.66666666666666663</v>
      </c>
      <c r="M383" s="13">
        <f>N383/Sheet1!$B383</f>
        <v>0.54712041884816753</v>
      </c>
      <c r="N383" s="2">
        <f t="shared" si="3"/>
        <v>209</v>
      </c>
      <c r="O383" s="2">
        <f>IF(Sheet1!$H383="ted",1,0)</f>
        <v>0</v>
      </c>
    </row>
    <row r="384" spans="1:15" ht="15.75" customHeight="1" x14ac:dyDescent="0.2">
      <c r="A384" s="11">
        <v>44596</v>
      </c>
      <c r="B384" s="12">
        <f t="shared" si="2"/>
        <v>383</v>
      </c>
      <c r="C384" s="10" t="s">
        <v>87</v>
      </c>
      <c r="D384" s="10" t="s">
        <v>60</v>
      </c>
      <c r="E384" s="10">
        <v>0</v>
      </c>
      <c r="F384" s="10" t="s">
        <v>3</v>
      </c>
      <c r="G384" s="10">
        <v>5</v>
      </c>
      <c r="H384" s="10" t="s">
        <v>8</v>
      </c>
      <c r="I384" s="10">
        <v>0</v>
      </c>
      <c r="K384" s="2">
        <v>0.5</v>
      </c>
      <c r="L384" s="13">
        <f t="shared" si="4"/>
        <v>0.55555555555555558</v>
      </c>
      <c r="M384" s="13">
        <f>N384/Sheet1!$B384</f>
        <v>0.54569190600522188</v>
      </c>
      <c r="N384" s="2">
        <f t="shared" si="3"/>
        <v>209</v>
      </c>
      <c r="O384" s="2">
        <f>IF(Sheet1!$H384="ted",1,0)</f>
        <v>1</v>
      </c>
    </row>
    <row r="385" spans="1:15" ht="15.75" customHeight="1" x14ac:dyDescent="0.2">
      <c r="A385" s="11">
        <v>44596</v>
      </c>
      <c r="B385" s="12">
        <f t="shared" si="2"/>
        <v>384</v>
      </c>
      <c r="C385" s="10" t="s">
        <v>87</v>
      </c>
      <c r="D385" s="10" t="s">
        <v>60</v>
      </c>
      <c r="E385" s="10">
        <v>1</v>
      </c>
      <c r="F385" s="10" t="s">
        <v>2</v>
      </c>
      <c r="G385" s="10">
        <v>2</v>
      </c>
      <c r="H385" s="10" t="s">
        <v>8</v>
      </c>
      <c r="I385" s="10">
        <v>3</v>
      </c>
      <c r="K385" s="2">
        <v>0.5</v>
      </c>
      <c r="L385" s="13">
        <f t="shared" si="4"/>
        <v>0.55555555555555558</v>
      </c>
      <c r="M385" s="13">
        <f>N385/Sheet1!$B385</f>
        <v>0.546875</v>
      </c>
      <c r="N385" s="2">
        <f t="shared" si="3"/>
        <v>210</v>
      </c>
      <c r="O385" s="2">
        <f>IF(Sheet1!$H385="ted",1,0)</f>
        <v>1</v>
      </c>
    </row>
    <row r="386" spans="1:15" ht="15.75" customHeight="1" x14ac:dyDescent="0.2">
      <c r="A386" s="11">
        <v>44596</v>
      </c>
      <c r="B386" s="12">
        <f t="shared" si="2"/>
        <v>385</v>
      </c>
      <c r="C386" s="10" t="s">
        <v>87</v>
      </c>
      <c r="D386" s="10" t="s">
        <v>60</v>
      </c>
      <c r="E386" s="10">
        <v>1</v>
      </c>
      <c r="F386" s="10" t="s">
        <v>3</v>
      </c>
      <c r="G386" s="10">
        <v>1</v>
      </c>
      <c r="H386" s="10" t="s">
        <v>60</v>
      </c>
      <c r="I386" s="10">
        <v>0</v>
      </c>
      <c r="K386" s="2">
        <v>0.5</v>
      </c>
      <c r="L386" s="13">
        <f t="shared" si="4"/>
        <v>0.55555555555555558</v>
      </c>
      <c r="M386" s="13">
        <f>N386/Sheet1!$B386</f>
        <v>0.54805194805194801</v>
      </c>
      <c r="N386" s="2">
        <f t="shared" si="3"/>
        <v>211</v>
      </c>
      <c r="O386" s="2">
        <f>IF(Sheet1!$H386="ted",1,0)</f>
        <v>0</v>
      </c>
    </row>
    <row r="387" spans="1:15" ht="15.75" customHeight="1" x14ac:dyDescent="0.2">
      <c r="A387" s="11">
        <v>44596</v>
      </c>
      <c r="B387" s="12">
        <f t="shared" si="2"/>
        <v>386</v>
      </c>
      <c r="C387" s="10" t="s">
        <v>87</v>
      </c>
      <c r="D387" s="10" t="s">
        <v>59</v>
      </c>
      <c r="E387" s="10">
        <v>1</v>
      </c>
      <c r="F387" s="10" t="s">
        <v>4</v>
      </c>
      <c r="G387" s="10">
        <v>0</v>
      </c>
      <c r="H387" s="10" t="s">
        <v>8</v>
      </c>
      <c r="I387" s="10">
        <v>0</v>
      </c>
      <c r="K387" s="2">
        <v>0.5</v>
      </c>
      <c r="L387" s="13">
        <f t="shared" si="4"/>
        <v>0.55555555555555558</v>
      </c>
      <c r="M387" s="13">
        <f>N387/Sheet1!$B387</f>
        <v>0.54922279792746109</v>
      </c>
      <c r="N387" s="2">
        <f t="shared" si="3"/>
        <v>212</v>
      </c>
      <c r="O387" s="2">
        <f>IF(Sheet1!$H387="ted",1,0)</f>
        <v>1</v>
      </c>
    </row>
    <row r="388" spans="1:15" ht="15.75" customHeight="1" x14ac:dyDescent="0.2">
      <c r="A388" s="11">
        <v>44596</v>
      </c>
      <c r="B388" s="12">
        <f t="shared" si="2"/>
        <v>387</v>
      </c>
      <c r="C388" s="10" t="s">
        <v>87</v>
      </c>
      <c r="D388" s="10" t="s">
        <v>60</v>
      </c>
      <c r="E388" s="10">
        <v>1</v>
      </c>
      <c r="F388" s="10" t="s">
        <v>3</v>
      </c>
      <c r="G388" s="10">
        <v>0</v>
      </c>
      <c r="H388" s="10" t="s">
        <v>57</v>
      </c>
      <c r="I388" s="10">
        <v>0</v>
      </c>
      <c r="K388" s="2">
        <v>0.5</v>
      </c>
      <c r="L388" s="13">
        <f t="shared" si="4"/>
        <v>0.66666666666666663</v>
      </c>
      <c r="M388" s="13">
        <f>N388/Sheet1!$B388</f>
        <v>0.55038759689922478</v>
      </c>
      <c r="N388" s="2">
        <f t="shared" si="3"/>
        <v>213</v>
      </c>
      <c r="O388" s="2">
        <f>IF(Sheet1!$H388="ted",1,0)</f>
        <v>0</v>
      </c>
    </row>
    <row r="389" spans="1:15" ht="15.75" customHeight="1" x14ac:dyDescent="0.2">
      <c r="A389" s="11">
        <v>44596</v>
      </c>
      <c r="B389" s="12">
        <f t="shared" si="2"/>
        <v>388</v>
      </c>
      <c r="C389" s="10" t="s">
        <v>87</v>
      </c>
      <c r="D389" s="10" t="s">
        <v>60</v>
      </c>
      <c r="E389" s="10">
        <v>1</v>
      </c>
      <c r="F389" s="10" t="s">
        <v>3</v>
      </c>
      <c r="G389" s="10">
        <v>4</v>
      </c>
      <c r="H389" s="10" t="s">
        <v>8</v>
      </c>
      <c r="I389" s="10">
        <v>0</v>
      </c>
      <c r="K389" s="2">
        <v>0.5</v>
      </c>
      <c r="L389" s="13">
        <f t="shared" si="4"/>
        <v>0.66666666666666663</v>
      </c>
      <c r="M389" s="13">
        <f>N389/Sheet1!$B389</f>
        <v>0.55154639175257736</v>
      </c>
      <c r="N389" s="2">
        <f t="shared" si="3"/>
        <v>214</v>
      </c>
      <c r="O389" s="2">
        <f>IF(Sheet1!$H389="ted",1,0)</f>
        <v>1</v>
      </c>
    </row>
    <row r="390" spans="1:15" ht="15.75" customHeight="1" x14ac:dyDescent="0.2">
      <c r="A390" s="11">
        <v>44596</v>
      </c>
      <c r="B390" s="12">
        <f t="shared" si="2"/>
        <v>389</v>
      </c>
      <c r="C390" s="10" t="s">
        <v>87</v>
      </c>
      <c r="D390" s="10" t="s">
        <v>57</v>
      </c>
      <c r="E390" s="10">
        <v>1</v>
      </c>
      <c r="F390" s="10" t="s">
        <v>3</v>
      </c>
      <c r="G390" s="10">
        <v>1</v>
      </c>
      <c r="H390" s="10" t="s">
        <v>57</v>
      </c>
      <c r="I390" s="10">
        <v>0</v>
      </c>
      <c r="K390" s="2">
        <v>0.5</v>
      </c>
      <c r="L390" s="13">
        <f t="shared" si="4"/>
        <v>0.66666666666666663</v>
      </c>
      <c r="M390" s="13">
        <f>N390/Sheet1!$B390</f>
        <v>0.5526992287917738</v>
      </c>
      <c r="N390" s="2">
        <f t="shared" si="3"/>
        <v>215</v>
      </c>
      <c r="O390" s="2">
        <f>IF(Sheet1!$H390="ted",1,0)</f>
        <v>0</v>
      </c>
    </row>
    <row r="391" spans="1:15" ht="15.75" customHeight="1" x14ac:dyDescent="0.2">
      <c r="A391" s="11">
        <v>44596</v>
      </c>
      <c r="B391" s="12">
        <f t="shared" si="2"/>
        <v>390</v>
      </c>
      <c r="C391" s="10" t="s">
        <v>87</v>
      </c>
      <c r="D391" s="10" t="s">
        <v>59</v>
      </c>
      <c r="E391" s="10">
        <v>1</v>
      </c>
      <c r="F391" s="10" t="s">
        <v>3</v>
      </c>
      <c r="G391" s="10">
        <v>1</v>
      </c>
      <c r="H391" s="10" t="s">
        <v>59</v>
      </c>
      <c r="I391" s="10">
        <v>0</v>
      </c>
      <c r="K391" s="2">
        <v>0.5</v>
      </c>
      <c r="L391" s="13">
        <f t="shared" si="4"/>
        <v>0.77777777777777779</v>
      </c>
      <c r="M391" s="13">
        <f>N391/Sheet1!$B391</f>
        <v>0.55384615384615388</v>
      </c>
      <c r="N391" s="2">
        <f t="shared" si="3"/>
        <v>216</v>
      </c>
      <c r="O391" s="2">
        <f>IF(Sheet1!$H391="ted",1,0)</f>
        <v>0</v>
      </c>
    </row>
    <row r="392" spans="1:15" ht="15.75" customHeight="1" x14ac:dyDescent="0.2">
      <c r="A392" s="11">
        <v>44596</v>
      </c>
      <c r="B392" s="12">
        <f t="shared" si="2"/>
        <v>391</v>
      </c>
      <c r="C392" s="10" t="s">
        <v>87</v>
      </c>
      <c r="D392" s="10" t="s">
        <v>59</v>
      </c>
      <c r="E392" s="10">
        <v>0</v>
      </c>
      <c r="F392" s="10" t="s">
        <v>3</v>
      </c>
      <c r="G392" s="10">
        <v>1</v>
      </c>
      <c r="H392" s="10" t="s">
        <v>8</v>
      </c>
      <c r="I392" s="10">
        <v>0</v>
      </c>
      <c r="K392" s="2">
        <v>0.5</v>
      </c>
      <c r="L392" s="13">
        <f t="shared" si="4"/>
        <v>0.77777777777777779</v>
      </c>
      <c r="M392" s="13">
        <f>N392/Sheet1!$B392</f>
        <v>0.55242966751918154</v>
      </c>
      <c r="N392" s="2">
        <f t="shared" si="3"/>
        <v>216</v>
      </c>
      <c r="O392" s="2">
        <f>IF(Sheet1!$H392="ted",1,0)</f>
        <v>1</v>
      </c>
    </row>
    <row r="393" spans="1:15" ht="15.75" customHeight="1" x14ac:dyDescent="0.2">
      <c r="A393" s="11">
        <v>44596</v>
      </c>
      <c r="B393" s="12">
        <f t="shared" si="2"/>
        <v>392</v>
      </c>
      <c r="C393" s="10" t="s">
        <v>87</v>
      </c>
      <c r="D393" s="10" t="s">
        <v>59</v>
      </c>
      <c r="E393" s="10">
        <v>1</v>
      </c>
      <c r="F393" s="10" t="s">
        <v>3</v>
      </c>
      <c r="G393" s="10">
        <v>5</v>
      </c>
      <c r="H393" s="10" t="s">
        <v>59</v>
      </c>
      <c r="I393" s="10">
        <v>0</v>
      </c>
      <c r="K393" s="2">
        <v>0.5</v>
      </c>
      <c r="L393" s="13">
        <f t="shared" si="4"/>
        <v>0.88888888888888884</v>
      </c>
      <c r="M393" s="13">
        <f>N393/Sheet1!$B393</f>
        <v>0.5535714285714286</v>
      </c>
      <c r="N393" s="2">
        <f t="shared" si="3"/>
        <v>217</v>
      </c>
      <c r="O393" s="2">
        <f>IF(Sheet1!$H393="ted",1,0)</f>
        <v>0</v>
      </c>
    </row>
    <row r="394" spans="1:15" ht="15.75" customHeight="1" x14ac:dyDescent="0.2">
      <c r="A394" s="11">
        <v>44597</v>
      </c>
      <c r="B394" s="12">
        <f t="shared" si="2"/>
        <v>393</v>
      </c>
      <c r="C394" s="10" t="s">
        <v>87</v>
      </c>
      <c r="D394" s="10" t="s">
        <v>59</v>
      </c>
      <c r="E394" s="10">
        <v>0</v>
      </c>
      <c r="F394" s="10" t="s">
        <v>3</v>
      </c>
      <c r="G394" s="10">
        <v>1</v>
      </c>
      <c r="H394" s="10" t="s">
        <v>59</v>
      </c>
      <c r="I394" s="10">
        <v>0</v>
      </c>
      <c r="K394" s="2">
        <v>0.5</v>
      </c>
      <c r="L394" s="13">
        <f t="shared" si="4"/>
        <v>0.77777777777777779</v>
      </c>
      <c r="M394" s="13">
        <f>N394/Sheet1!$B394</f>
        <v>0.55216284987277353</v>
      </c>
      <c r="N394" s="2">
        <f t="shared" si="3"/>
        <v>217</v>
      </c>
      <c r="O394" s="2">
        <f>IF(Sheet1!$H394="ted",1,0)</f>
        <v>0</v>
      </c>
    </row>
    <row r="395" spans="1:15" ht="15.75" customHeight="1" x14ac:dyDescent="0.2">
      <c r="A395" s="11">
        <v>44597</v>
      </c>
      <c r="B395" s="12">
        <f t="shared" si="2"/>
        <v>394</v>
      </c>
      <c r="C395" s="10" t="s">
        <v>87</v>
      </c>
      <c r="D395" s="10" t="s">
        <v>57</v>
      </c>
      <c r="E395" s="10">
        <v>1</v>
      </c>
      <c r="F395" s="10" t="s">
        <v>3</v>
      </c>
      <c r="G395" s="10">
        <v>4</v>
      </c>
      <c r="H395" s="10" t="s">
        <v>57</v>
      </c>
      <c r="I395" s="10">
        <v>0</v>
      </c>
      <c r="K395" s="2">
        <v>0.5</v>
      </c>
      <c r="L395" s="13">
        <f t="shared" si="4"/>
        <v>0.77777777777777779</v>
      </c>
      <c r="M395" s="13">
        <f>N395/Sheet1!$B395</f>
        <v>0.5532994923857868</v>
      </c>
      <c r="N395" s="2">
        <f t="shared" si="3"/>
        <v>218</v>
      </c>
      <c r="O395" s="2">
        <f>IF(Sheet1!$H395="ted",1,0)</f>
        <v>0</v>
      </c>
    </row>
    <row r="396" spans="1:15" ht="15.75" customHeight="1" x14ac:dyDescent="0.2">
      <c r="A396" s="11">
        <v>44597</v>
      </c>
      <c r="B396" s="12">
        <f t="shared" si="2"/>
        <v>395</v>
      </c>
      <c r="C396" s="10" t="s">
        <v>87</v>
      </c>
      <c r="D396" s="10" t="s">
        <v>90</v>
      </c>
      <c r="E396" s="10">
        <v>1</v>
      </c>
      <c r="F396" s="10" t="s">
        <v>3</v>
      </c>
      <c r="G396" s="10">
        <v>3</v>
      </c>
      <c r="H396" s="10" t="s">
        <v>8</v>
      </c>
      <c r="I396" s="10">
        <v>0</v>
      </c>
      <c r="K396" s="2">
        <v>0.5</v>
      </c>
      <c r="L396" s="13">
        <f t="shared" si="4"/>
        <v>0.77777777777777779</v>
      </c>
      <c r="M396" s="13">
        <f>N396/Sheet1!$B396</f>
        <v>0.5544303797468354</v>
      </c>
      <c r="N396" s="2">
        <f t="shared" si="3"/>
        <v>219</v>
      </c>
      <c r="O396" s="2">
        <f>IF(Sheet1!$H396="ted",1,0)</f>
        <v>1</v>
      </c>
    </row>
    <row r="397" spans="1:15" ht="15.75" customHeight="1" x14ac:dyDescent="0.2">
      <c r="A397" s="11">
        <v>44597</v>
      </c>
      <c r="B397" s="12">
        <f t="shared" si="2"/>
        <v>396</v>
      </c>
      <c r="C397" s="10" t="s">
        <v>87</v>
      </c>
      <c r="D397" s="10" t="s">
        <v>90</v>
      </c>
      <c r="E397" s="10">
        <v>1</v>
      </c>
      <c r="F397" s="10" t="s">
        <v>3</v>
      </c>
      <c r="G397" s="10">
        <v>3</v>
      </c>
      <c r="H397" s="10" t="s">
        <v>8</v>
      </c>
      <c r="I397" s="10">
        <v>0</v>
      </c>
      <c r="K397" s="2">
        <v>0.5</v>
      </c>
      <c r="L397" s="13">
        <f t="shared" si="4"/>
        <v>0.77777777777777779</v>
      </c>
      <c r="M397" s="13">
        <f>N397/Sheet1!$B397</f>
        <v>0.55555555555555558</v>
      </c>
      <c r="N397" s="2">
        <f t="shared" si="3"/>
        <v>220</v>
      </c>
      <c r="O397" s="2">
        <f>IF(Sheet1!$H397="ted",1,0)</f>
        <v>1</v>
      </c>
    </row>
    <row r="398" spans="1:15" ht="15.75" customHeight="1" x14ac:dyDescent="0.2">
      <c r="A398" s="11">
        <v>44597</v>
      </c>
      <c r="B398" s="12">
        <f t="shared" si="2"/>
        <v>397</v>
      </c>
      <c r="C398" s="10" t="s">
        <v>87</v>
      </c>
      <c r="D398" s="10" t="s">
        <v>90</v>
      </c>
      <c r="E398" s="10">
        <v>1</v>
      </c>
      <c r="F398" s="10" t="s">
        <v>3</v>
      </c>
      <c r="G398" s="10">
        <v>3</v>
      </c>
      <c r="H398" s="10" t="s">
        <v>8</v>
      </c>
      <c r="I398" s="10">
        <v>0</v>
      </c>
      <c r="K398" s="2">
        <v>0.5</v>
      </c>
      <c r="L398" s="13">
        <f t="shared" si="4"/>
        <v>0.77777777777777779</v>
      </c>
      <c r="M398" s="13">
        <f>N398/Sheet1!$B398</f>
        <v>0.55667506297229219</v>
      </c>
      <c r="N398" s="2">
        <f t="shared" si="3"/>
        <v>221</v>
      </c>
      <c r="O398" s="2">
        <f>IF(Sheet1!$H398="ted",1,0)</f>
        <v>1</v>
      </c>
    </row>
    <row r="399" spans="1:15" ht="15.75" customHeight="1" x14ac:dyDescent="0.2">
      <c r="A399" s="11">
        <v>44597</v>
      </c>
      <c r="B399" s="12">
        <f t="shared" si="2"/>
        <v>398</v>
      </c>
      <c r="C399" s="10" t="s">
        <v>87</v>
      </c>
      <c r="D399" s="10" t="s">
        <v>90</v>
      </c>
      <c r="E399" s="10">
        <v>1</v>
      </c>
      <c r="F399" s="10" t="s">
        <v>3</v>
      </c>
      <c r="G399" s="10">
        <v>1</v>
      </c>
      <c r="H399" s="10" t="s">
        <v>8</v>
      </c>
      <c r="I399" s="10">
        <v>0</v>
      </c>
      <c r="K399" s="2">
        <v>0.5</v>
      </c>
      <c r="L399" s="13">
        <f t="shared" si="4"/>
        <v>0.77777777777777779</v>
      </c>
      <c r="M399" s="13">
        <f>N399/Sheet1!$B399</f>
        <v>0.55778894472361806</v>
      </c>
      <c r="N399" s="2">
        <f t="shared" si="3"/>
        <v>222</v>
      </c>
      <c r="O399" s="2">
        <f>IF(Sheet1!$H399="ted",1,0)</f>
        <v>1</v>
      </c>
    </row>
    <row r="400" spans="1:15" ht="15.75" customHeight="1" x14ac:dyDescent="0.2">
      <c r="A400" s="11">
        <v>44597</v>
      </c>
      <c r="B400" s="12">
        <f t="shared" si="2"/>
        <v>399</v>
      </c>
      <c r="C400" s="10" t="s">
        <v>87</v>
      </c>
      <c r="D400" s="10" t="s">
        <v>60</v>
      </c>
      <c r="E400" s="10">
        <v>0</v>
      </c>
      <c r="F400" s="10" t="s">
        <v>2</v>
      </c>
      <c r="G400" s="10">
        <v>1</v>
      </c>
      <c r="H400" s="10" t="s">
        <v>8</v>
      </c>
      <c r="I400" s="10">
        <v>2</v>
      </c>
      <c r="K400" s="2">
        <v>0.5</v>
      </c>
      <c r="L400" s="13">
        <f t="shared" si="4"/>
        <v>0.66666666666666663</v>
      </c>
      <c r="M400" s="13">
        <f>N400/Sheet1!$B400</f>
        <v>0.55639097744360899</v>
      </c>
      <c r="N400" s="2">
        <f t="shared" si="3"/>
        <v>222</v>
      </c>
      <c r="O400" s="2">
        <f>IF(Sheet1!$H400="ted",1,0)</f>
        <v>1</v>
      </c>
    </row>
    <row r="401" spans="1:15" ht="15.75" customHeight="1" x14ac:dyDescent="0.2">
      <c r="A401" s="11">
        <v>44597</v>
      </c>
      <c r="B401" s="12">
        <f t="shared" si="2"/>
        <v>400</v>
      </c>
      <c r="C401" s="10" t="s">
        <v>87</v>
      </c>
      <c r="D401" s="10" t="s">
        <v>59</v>
      </c>
      <c r="E401" s="10">
        <v>1</v>
      </c>
      <c r="F401" s="10" t="s">
        <v>3</v>
      </c>
      <c r="G401" s="10">
        <v>1</v>
      </c>
      <c r="H401" s="10" t="s">
        <v>8</v>
      </c>
      <c r="I401" s="10">
        <v>0</v>
      </c>
      <c r="K401" s="2">
        <v>0.5</v>
      </c>
      <c r="L401" s="13">
        <f t="shared" si="4"/>
        <v>0.77777777777777779</v>
      </c>
      <c r="M401" s="13">
        <f>N401/Sheet1!$B401</f>
        <v>0.5575</v>
      </c>
      <c r="N401" s="2">
        <f t="shared" si="3"/>
        <v>223</v>
      </c>
      <c r="O401" s="2">
        <f>IF(Sheet1!$H401="ted",1,0)</f>
        <v>1</v>
      </c>
    </row>
    <row r="402" spans="1:15" ht="15.75" customHeight="1" x14ac:dyDescent="0.2">
      <c r="A402" s="11">
        <v>44597</v>
      </c>
      <c r="B402" s="12">
        <f t="shared" si="2"/>
        <v>401</v>
      </c>
      <c r="C402" s="10" t="s">
        <v>87</v>
      </c>
      <c r="D402" s="10" t="s">
        <v>59</v>
      </c>
      <c r="E402" s="10">
        <v>0</v>
      </c>
      <c r="F402" s="10" t="s">
        <v>3</v>
      </c>
      <c r="G402" s="10">
        <v>0</v>
      </c>
      <c r="H402" s="10" t="s">
        <v>59</v>
      </c>
      <c r="I402" s="10">
        <v>0</v>
      </c>
      <c r="K402" s="2">
        <v>0.5</v>
      </c>
      <c r="L402" s="13">
        <f t="shared" si="4"/>
        <v>0.66666666666666663</v>
      </c>
      <c r="M402" s="13">
        <f>N402/Sheet1!$B402</f>
        <v>0.55610972568578554</v>
      </c>
      <c r="N402" s="2">
        <f t="shared" si="3"/>
        <v>223</v>
      </c>
      <c r="O402" s="2">
        <f>IF(Sheet1!$H402="ted",1,0)</f>
        <v>0</v>
      </c>
    </row>
    <row r="403" spans="1:15" ht="15.75" customHeight="1" x14ac:dyDescent="0.2">
      <c r="A403" s="11">
        <v>44597</v>
      </c>
      <c r="B403" s="12">
        <f t="shared" si="2"/>
        <v>402</v>
      </c>
      <c r="C403" s="10" t="s">
        <v>87</v>
      </c>
      <c r="D403" s="10" t="s">
        <v>59</v>
      </c>
      <c r="E403" s="10">
        <v>0</v>
      </c>
      <c r="F403" s="10" t="s">
        <v>3</v>
      </c>
      <c r="G403" s="10">
        <v>0</v>
      </c>
      <c r="H403" s="10" t="s">
        <v>59</v>
      </c>
      <c r="I403" s="10">
        <v>0</v>
      </c>
      <c r="K403" s="2">
        <v>0.5</v>
      </c>
      <c r="L403" s="13">
        <f t="shared" si="4"/>
        <v>0.66666666666666663</v>
      </c>
      <c r="M403" s="13">
        <f>N403/Sheet1!$B403</f>
        <v>0.55472636815920395</v>
      </c>
      <c r="N403" s="2">
        <f t="shared" si="3"/>
        <v>223</v>
      </c>
      <c r="O403" s="2">
        <f>IF(Sheet1!$H403="ted",1,0)</f>
        <v>0</v>
      </c>
    </row>
    <row r="404" spans="1:15" ht="15.75" customHeight="1" x14ac:dyDescent="0.2">
      <c r="A404" s="11">
        <v>44614</v>
      </c>
      <c r="B404" s="12">
        <f t="shared" si="2"/>
        <v>403</v>
      </c>
      <c r="C404" s="10" t="s">
        <v>87</v>
      </c>
      <c r="D404" s="10" t="s">
        <v>59</v>
      </c>
      <c r="E404" s="10">
        <v>0</v>
      </c>
      <c r="F404" s="10" t="s">
        <v>3</v>
      </c>
      <c r="G404" s="10">
        <v>3</v>
      </c>
      <c r="H404" s="10" t="s">
        <v>59</v>
      </c>
      <c r="I404" s="10">
        <v>0</v>
      </c>
      <c r="K404" s="2">
        <v>0.5</v>
      </c>
      <c r="L404" s="13">
        <f t="shared" si="4"/>
        <v>0.55555555555555558</v>
      </c>
      <c r="M404" s="13">
        <f>N404/Sheet1!$B404</f>
        <v>0.5533498759305211</v>
      </c>
      <c r="N404" s="2">
        <f t="shared" si="3"/>
        <v>223</v>
      </c>
      <c r="O404" s="2">
        <f>IF(Sheet1!$H404="ted",1,0)</f>
        <v>0</v>
      </c>
    </row>
    <row r="405" spans="1:15" ht="15.75" customHeight="1" x14ac:dyDescent="0.2">
      <c r="A405" s="11">
        <v>44614</v>
      </c>
      <c r="B405" s="12">
        <f t="shared" si="2"/>
        <v>404</v>
      </c>
      <c r="C405" s="10" t="s">
        <v>87</v>
      </c>
      <c r="D405" s="10" t="s">
        <v>59</v>
      </c>
      <c r="E405" s="10">
        <v>0</v>
      </c>
      <c r="F405" s="10" t="s">
        <v>3</v>
      </c>
      <c r="G405" s="10">
        <v>1</v>
      </c>
      <c r="H405" s="10" t="s">
        <v>59</v>
      </c>
      <c r="I405" s="10">
        <v>0</v>
      </c>
      <c r="K405" s="2">
        <v>0.5</v>
      </c>
      <c r="L405" s="13">
        <f t="shared" si="4"/>
        <v>0.44444444444444442</v>
      </c>
      <c r="M405" s="13">
        <f>N405/Sheet1!$B405</f>
        <v>0.55198019801980203</v>
      </c>
      <c r="N405" s="2">
        <f t="shared" si="3"/>
        <v>223</v>
      </c>
      <c r="O405" s="2">
        <f>IF(Sheet1!$H405="ted",1,0)</f>
        <v>0</v>
      </c>
    </row>
    <row r="406" spans="1:15" ht="15.75" customHeight="1" x14ac:dyDescent="0.2">
      <c r="A406" s="11">
        <v>44614</v>
      </c>
      <c r="B406" s="12">
        <f t="shared" si="2"/>
        <v>405</v>
      </c>
      <c r="C406" s="10" t="s">
        <v>87</v>
      </c>
      <c r="D406" s="10" t="s">
        <v>59</v>
      </c>
      <c r="E406" s="10">
        <v>0</v>
      </c>
      <c r="F406" s="10" t="s">
        <v>3</v>
      </c>
      <c r="G406" s="10">
        <v>0</v>
      </c>
      <c r="H406" s="10" t="s">
        <v>59</v>
      </c>
      <c r="I406" s="10">
        <v>0</v>
      </c>
      <c r="K406" s="2">
        <v>0.5</v>
      </c>
      <c r="L406" s="13">
        <f t="shared" si="4"/>
        <v>0.33333333333333331</v>
      </c>
      <c r="M406" s="13">
        <f>N406/Sheet1!$B406</f>
        <v>0.55061728395061726</v>
      </c>
      <c r="N406" s="2">
        <f t="shared" si="3"/>
        <v>223</v>
      </c>
      <c r="O406" s="2">
        <f>IF(Sheet1!$H406="ted",1,0)</f>
        <v>0</v>
      </c>
    </row>
    <row r="407" spans="1:15" ht="15.75" customHeight="1" x14ac:dyDescent="0.2">
      <c r="A407" s="11">
        <v>44614</v>
      </c>
      <c r="B407" s="12">
        <f t="shared" si="2"/>
        <v>406</v>
      </c>
      <c r="C407" s="10" t="s">
        <v>87</v>
      </c>
      <c r="D407" s="10" t="s">
        <v>59</v>
      </c>
      <c r="E407" s="10">
        <v>0</v>
      </c>
      <c r="F407" s="10" t="s">
        <v>3</v>
      </c>
      <c r="G407" s="10">
        <v>0</v>
      </c>
      <c r="H407" s="10" t="s">
        <v>8</v>
      </c>
      <c r="I407" s="10">
        <v>0</v>
      </c>
      <c r="K407" s="2">
        <v>0.5</v>
      </c>
      <c r="L407" s="13">
        <f t="shared" si="4"/>
        <v>0.22222222222222221</v>
      </c>
      <c r="M407" s="13">
        <f>N407/Sheet1!$B407</f>
        <v>0.54926108374384242</v>
      </c>
      <c r="N407" s="2">
        <f t="shared" si="3"/>
        <v>223</v>
      </c>
      <c r="O407" s="2">
        <f>IF(Sheet1!$H407="ted",1,0)</f>
        <v>1</v>
      </c>
    </row>
    <row r="408" spans="1:15" ht="15.75" customHeight="1" x14ac:dyDescent="0.2">
      <c r="A408" s="11">
        <v>44614</v>
      </c>
      <c r="B408" s="12">
        <f t="shared" si="2"/>
        <v>407</v>
      </c>
      <c r="C408" s="10" t="s">
        <v>87</v>
      </c>
      <c r="D408" s="10" t="s">
        <v>59</v>
      </c>
      <c r="E408" s="10">
        <v>0</v>
      </c>
      <c r="F408" s="10" t="s">
        <v>3</v>
      </c>
      <c r="G408" s="10">
        <v>1</v>
      </c>
      <c r="H408" s="10" t="s">
        <v>59</v>
      </c>
      <c r="I408" s="10">
        <v>0</v>
      </c>
      <c r="K408" s="2">
        <v>0.5</v>
      </c>
      <c r="L408" s="13">
        <f t="shared" si="4"/>
        <v>0.1111111111111111</v>
      </c>
      <c r="M408" s="13">
        <f>N408/Sheet1!$B408</f>
        <v>0.54791154791154795</v>
      </c>
      <c r="N408" s="2">
        <f t="shared" si="3"/>
        <v>223</v>
      </c>
      <c r="O408" s="2">
        <f>IF(Sheet1!$H408="ted",1,0)</f>
        <v>0</v>
      </c>
    </row>
    <row r="409" spans="1:15" ht="15.75" customHeight="1" x14ac:dyDescent="0.2">
      <c r="A409" s="11">
        <v>44614</v>
      </c>
      <c r="B409" s="12">
        <f t="shared" si="2"/>
        <v>408</v>
      </c>
      <c r="C409" s="10" t="s">
        <v>87</v>
      </c>
      <c r="D409" s="10" t="s">
        <v>59</v>
      </c>
      <c r="E409" s="10">
        <v>0</v>
      </c>
      <c r="F409" s="10" t="s">
        <v>3</v>
      </c>
      <c r="G409" s="10">
        <v>5</v>
      </c>
      <c r="H409" s="10" t="s">
        <v>59</v>
      </c>
      <c r="I409" s="10">
        <v>0</v>
      </c>
      <c r="K409" s="2">
        <v>0.5</v>
      </c>
      <c r="L409" s="13">
        <f t="shared" si="4"/>
        <v>0.1111111111111111</v>
      </c>
      <c r="M409" s="13">
        <f>N409/Sheet1!$B409</f>
        <v>0.54656862745098034</v>
      </c>
      <c r="N409" s="2">
        <f t="shared" si="3"/>
        <v>223</v>
      </c>
      <c r="O409" s="2">
        <f>IF(Sheet1!$H409="ted",1,0)</f>
        <v>0</v>
      </c>
    </row>
    <row r="410" spans="1:15" ht="15.75" customHeight="1" x14ac:dyDescent="0.2">
      <c r="A410" s="11">
        <v>44614</v>
      </c>
      <c r="B410" s="12">
        <f t="shared" si="2"/>
        <v>409</v>
      </c>
      <c r="C410" s="10" t="s">
        <v>87</v>
      </c>
      <c r="D410" s="10" t="s">
        <v>59</v>
      </c>
      <c r="E410" s="10">
        <v>1</v>
      </c>
      <c r="F410" s="10" t="s">
        <v>3</v>
      </c>
      <c r="G410" s="10">
        <v>1</v>
      </c>
      <c r="H410" s="10" t="s">
        <v>8</v>
      </c>
      <c r="I410" s="10">
        <v>0</v>
      </c>
      <c r="K410" s="2">
        <v>0.5</v>
      </c>
      <c r="L410" s="13">
        <f t="shared" si="4"/>
        <v>0.1111111111111111</v>
      </c>
      <c r="M410" s="13">
        <f>N410/Sheet1!$B410</f>
        <v>0.5476772616136919</v>
      </c>
      <c r="N410" s="2">
        <f t="shared" si="3"/>
        <v>224</v>
      </c>
      <c r="O410" s="2">
        <f>IF(Sheet1!$H410="ted",1,0)</f>
        <v>1</v>
      </c>
    </row>
    <row r="411" spans="1:15" ht="15.75" customHeight="1" x14ac:dyDescent="0.2">
      <c r="A411" s="11">
        <v>44614</v>
      </c>
      <c r="B411" s="12">
        <f t="shared" si="2"/>
        <v>410</v>
      </c>
      <c r="C411" s="10" t="s">
        <v>87</v>
      </c>
      <c r="D411" s="10" t="s">
        <v>59</v>
      </c>
      <c r="E411" s="10">
        <v>1</v>
      </c>
      <c r="F411" s="10" t="s">
        <v>3</v>
      </c>
      <c r="G411" s="10">
        <v>1</v>
      </c>
      <c r="H411" s="10" t="s">
        <v>8</v>
      </c>
      <c r="I411" s="10">
        <v>0</v>
      </c>
      <c r="K411" s="2">
        <v>0.5</v>
      </c>
      <c r="L411" s="13">
        <f t="shared" si="4"/>
        <v>0.22222222222222221</v>
      </c>
      <c r="M411" s="13">
        <f>N411/Sheet1!$B411</f>
        <v>0.54878048780487809</v>
      </c>
      <c r="N411" s="2">
        <f t="shared" si="3"/>
        <v>225</v>
      </c>
      <c r="O411" s="2">
        <f>IF(Sheet1!$H411="ted",1,0)</f>
        <v>1</v>
      </c>
    </row>
    <row r="412" spans="1:15" ht="15.75" customHeight="1" x14ac:dyDescent="0.2">
      <c r="A412" s="11">
        <v>44621</v>
      </c>
      <c r="B412" s="12">
        <f t="shared" si="2"/>
        <v>411</v>
      </c>
      <c r="C412" s="10" t="s">
        <v>87</v>
      </c>
      <c r="D412" s="10" t="s">
        <v>59</v>
      </c>
      <c r="E412" s="10">
        <v>1</v>
      </c>
      <c r="F412" s="10" t="s">
        <v>3</v>
      </c>
      <c r="G412" s="10">
        <v>1</v>
      </c>
      <c r="H412" s="10" t="s">
        <v>8</v>
      </c>
      <c r="I412" s="10">
        <v>0</v>
      </c>
      <c r="K412" s="2">
        <v>0.5</v>
      </c>
      <c r="L412" s="13">
        <f t="shared" si="4"/>
        <v>0.33333333333333331</v>
      </c>
      <c r="M412" s="13">
        <f>N412/Sheet1!$B412</f>
        <v>0.54987834549878345</v>
      </c>
      <c r="N412" s="2">
        <f t="shared" si="3"/>
        <v>226</v>
      </c>
      <c r="O412" s="2">
        <f>IF(Sheet1!$H412="ted",1,0)</f>
        <v>1</v>
      </c>
    </row>
    <row r="413" spans="1:15" ht="15.75" customHeight="1" x14ac:dyDescent="0.2">
      <c r="A413" s="11">
        <v>44621</v>
      </c>
      <c r="B413" s="12">
        <f t="shared" si="2"/>
        <v>412</v>
      </c>
      <c r="C413" s="10" t="s">
        <v>87</v>
      </c>
      <c r="D413" s="10" t="s">
        <v>59</v>
      </c>
      <c r="E413" s="10">
        <v>0</v>
      </c>
      <c r="F413" s="10" t="s">
        <v>3</v>
      </c>
      <c r="G413" s="10">
        <v>0</v>
      </c>
      <c r="H413" s="10" t="s">
        <v>8</v>
      </c>
      <c r="I413" s="10">
        <v>0</v>
      </c>
      <c r="K413" s="2">
        <v>0.5</v>
      </c>
      <c r="L413" s="13">
        <f t="shared" si="4"/>
        <v>0.33333333333333331</v>
      </c>
      <c r="M413" s="13">
        <f>N413/Sheet1!$B413</f>
        <v>0.54854368932038833</v>
      </c>
      <c r="N413" s="2">
        <f t="shared" si="3"/>
        <v>226</v>
      </c>
      <c r="O413" s="2">
        <f>IF(Sheet1!$H413="ted",1,0)</f>
        <v>1</v>
      </c>
    </row>
    <row r="414" spans="1:15" ht="15.75" customHeight="1" x14ac:dyDescent="0.2">
      <c r="A414" s="11">
        <v>44621</v>
      </c>
      <c r="B414" s="12">
        <f t="shared" si="2"/>
        <v>413</v>
      </c>
      <c r="C414" s="10" t="s">
        <v>87</v>
      </c>
      <c r="D414" s="10" t="s">
        <v>59</v>
      </c>
      <c r="E414" s="10">
        <v>1</v>
      </c>
      <c r="F414" s="10" t="s">
        <v>3</v>
      </c>
      <c r="G414" s="10">
        <v>0</v>
      </c>
      <c r="H414" s="10" t="s">
        <v>59</v>
      </c>
      <c r="I414" s="10">
        <v>0</v>
      </c>
      <c r="K414" s="2">
        <v>0.5</v>
      </c>
      <c r="L414" s="13">
        <f t="shared" si="4"/>
        <v>0.44444444444444442</v>
      </c>
      <c r="M414" s="13">
        <f>N414/Sheet1!$B414</f>
        <v>0.54963680387409197</v>
      </c>
      <c r="N414" s="2">
        <f t="shared" si="3"/>
        <v>227</v>
      </c>
      <c r="O414" s="2">
        <f>IF(Sheet1!$H414="ted",1,0)</f>
        <v>0</v>
      </c>
    </row>
    <row r="415" spans="1:15" ht="15.75" customHeight="1" x14ac:dyDescent="0.2">
      <c r="A415" s="11">
        <v>44621</v>
      </c>
      <c r="B415" s="12">
        <f t="shared" si="2"/>
        <v>414</v>
      </c>
      <c r="C415" s="10" t="s">
        <v>87</v>
      </c>
      <c r="D415" s="10" t="s">
        <v>59</v>
      </c>
      <c r="E415" s="10">
        <v>0</v>
      </c>
      <c r="F415" s="10" t="s">
        <v>3</v>
      </c>
      <c r="G415" s="10">
        <v>0</v>
      </c>
      <c r="H415" s="10" t="s">
        <v>8</v>
      </c>
      <c r="I415" s="10">
        <v>0</v>
      </c>
      <c r="K415" s="2">
        <v>0.5</v>
      </c>
      <c r="L415" s="13">
        <f t="shared" si="4"/>
        <v>0.44444444444444442</v>
      </c>
      <c r="M415" s="13">
        <f>N415/Sheet1!$B415</f>
        <v>0.54830917874396135</v>
      </c>
      <c r="N415" s="2">
        <f t="shared" si="3"/>
        <v>227</v>
      </c>
      <c r="O415" s="2">
        <f>IF(Sheet1!$H415="ted",1,0)</f>
        <v>1</v>
      </c>
    </row>
    <row r="416" spans="1:15" ht="15.75" customHeight="1" x14ac:dyDescent="0.2">
      <c r="A416" s="11">
        <v>44621</v>
      </c>
      <c r="B416" s="12">
        <f t="shared" si="2"/>
        <v>415</v>
      </c>
      <c r="C416" s="10" t="s">
        <v>87</v>
      </c>
      <c r="D416" s="10" t="s">
        <v>59</v>
      </c>
      <c r="E416" s="10">
        <v>1</v>
      </c>
      <c r="F416" s="10" t="s">
        <v>3</v>
      </c>
      <c r="G416" s="10">
        <v>4</v>
      </c>
      <c r="H416" s="10" t="s">
        <v>59</v>
      </c>
      <c r="I416" s="10">
        <v>0</v>
      </c>
      <c r="K416" s="2">
        <v>0.5</v>
      </c>
      <c r="L416" s="13">
        <f t="shared" si="4"/>
        <v>0.55555555555555558</v>
      </c>
      <c r="M416" s="13">
        <f>N416/Sheet1!$B416</f>
        <v>0.54939759036144575</v>
      </c>
      <c r="N416" s="2">
        <f t="shared" si="3"/>
        <v>228</v>
      </c>
      <c r="O416" s="2">
        <f>IF(Sheet1!$H416="ted",1,0)</f>
        <v>0</v>
      </c>
    </row>
    <row r="417" spans="1:15" ht="15.75" customHeight="1" x14ac:dyDescent="0.2">
      <c r="A417" s="11">
        <v>44621</v>
      </c>
      <c r="B417" s="12">
        <f t="shared" si="2"/>
        <v>416</v>
      </c>
      <c r="C417" s="10" t="s">
        <v>87</v>
      </c>
      <c r="D417" s="10" t="s">
        <v>59</v>
      </c>
      <c r="E417" s="10">
        <v>1</v>
      </c>
      <c r="F417" s="10" t="s">
        <v>3</v>
      </c>
      <c r="G417" s="10">
        <v>0</v>
      </c>
      <c r="H417" s="10" t="s">
        <v>8</v>
      </c>
      <c r="I417" s="10">
        <v>0</v>
      </c>
      <c r="K417" s="2">
        <v>0.5</v>
      </c>
      <c r="L417" s="13">
        <f t="shared" si="4"/>
        <v>0.66666666666666663</v>
      </c>
      <c r="M417" s="13">
        <f>N417/Sheet1!$B417</f>
        <v>0.55048076923076927</v>
      </c>
      <c r="N417" s="2">
        <f t="shared" si="3"/>
        <v>229</v>
      </c>
      <c r="O417" s="2">
        <f>IF(Sheet1!$H417="ted",1,0)</f>
        <v>1</v>
      </c>
    </row>
    <row r="418" spans="1:15" ht="15.75" customHeight="1" x14ac:dyDescent="0.2">
      <c r="A418" s="11">
        <v>44628</v>
      </c>
      <c r="B418" s="12">
        <f t="shared" si="2"/>
        <v>417</v>
      </c>
      <c r="C418" s="10" t="s">
        <v>87</v>
      </c>
      <c r="D418" s="10" t="s">
        <v>91</v>
      </c>
      <c r="E418" s="10">
        <v>1</v>
      </c>
      <c r="F418" s="10" t="s">
        <v>3</v>
      </c>
      <c r="G418" s="10">
        <v>1</v>
      </c>
      <c r="H418" s="10" t="s">
        <v>8</v>
      </c>
      <c r="I418" s="10">
        <v>0</v>
      </c>
      <c r="K418" s="2">
        <v>0.5</v>
      </c>
      <c r="L418" s="13">
        <f t="shared" si="4"/>
        <v>0.77777777777777779</v>
      </c>
      <c r="M418" s="13">
        <f>N418/Sheet1!$B418</f>
        <v>0.55155875299760193</v>
      </c>
      <c r="N418" s="2">
        <f t="shared" si="3"/>
        <v>230</v>
      </c>
      <c r="O418" s="2">
        <f>IF(Sheet1!$H418="ted",1,0)</f>
        <v>1</v>
      </c>
    </row>
    <row r="419" spans="1:15" ht="15.75" customHeight="1" x14ac:dyDescent="0.2">
      <c r="A419" s="11">
        <v>44628</v>
      </c>
      <c r="B419" s="12">
        <f t="shared" si="2"/>
        <v>418</v>
      </c>
      <c r="C419" s="10" t="s">
        <v>87</v>
      </c>
      <c r="D419" s="10" t="s">
        <v>59</v>
      </c>
      <c r="E419" s="10">
        <v>0</v>
      </c>
      <c r="F419" s="10" t="s">
        <v>3</v>
      </c>
      <c r="G419" s="10">
        <v>3</v>
      </c>
      <c r="H419" s="10" t="s">
        <v>8</v>
      </c>
      <c r="I419" s="10">
        <v>0</v>
      </c>
      <c r="K419" s="2">
        <v>0.5</v>
      </c>
      <c r="L419" s="13">
        <f t="shared" si="4"/>
        <v>0.66666666666666663</v>
      </c>
      <c r="M419" s="13">
        <f>N419/Sheet1!$B419</f>
        <v>0.55023923444976075</v>
      </c>
      <c r="N419" s="2">
        <f t="shared" si="3"/>
        <v>230</v>
      </c>
      <c r="O419" s="2">
        <f>IF(Sheet1!$H419="ted",1,0)</f>
        <v>1</v>
      </c>
    </row>
    <row r="420" spans="1:15" ht="15.75" customHeight="1" x14ac:dyDescent="0.2">
      <c r="A420" s="11">
        <v>44628</v>
      </c>
      <c r="B420" s="12">
        <f t="shared" si="2"/>
        <v>419</v>
      </c>
      <c r="C420" s="10" t="s">
        <v>87</v>
      </c>
      <c r="D420" s="10" t="s">
        <v>91</v>
      </c>
      <c r="E420" s="10">
        <v>1</v>
      </c>
      <c r="F420" s="10" t="s">
        <v>3</v>
      </c>
      <c r="G420" s="10">
        <v>3</v>
      </c>
      <c r="H420" s="10" t="s">
        <v>91</v>
      </c>
      <c r="I420" s="10">
        <v>0</v>
      </c>
      <c r="K420" s="2">
        <v>0.5</v>
      </c>
      <c r="L420" s="13">
        <f t="shared" si="4"/>
        <v>0.66666666666666663</v>
      </c>
      <c r="M420" s="13">
        <f>N420/Sheet1!$B420</f>
        <v>0.55131264916467781</v>
      </c>
      <c r="N420" s="2">
        <f t="shared" si="3"/>
        <v>231</v>
      </c>
      <c r="O420" s="2">
        <f>IF(Sheet1!$H420="ted",1,0)</f>
        <v>0</v>
      </c>
    </row>
    <row r="421" spans="1:15" ht="15.75" customHeight="1" x14ac:dyDescent="0.2">
      <c r="A421" s="11">
        <v>44628</v>
      </c>
      <c r="B421" s="12">
        <f t="shared" si="2"/>
        <v>420</v>
      </c>
      <c r="C421" s="10" t="s">
        <v>87</v>
      </c>
      <c r="D421" s="10" t="s">
        <v>59</v>
      </c>
      <c r="E421" s="10">
        <v>1</v>
      </c>
      <c r="F421" s="10" t="s">
        <v>3</v>
      </c>
      <c r="G421" s="10">
        <v>0</v>
      </c>
      <c r="H421" s="10" t="s">
        <v>8</v>
      </c>
      <c r="I421" s="10">
        <v>0</v>
      </c>
      <c r="K421" s="2">
        <v>0.5</v>
      </c>
      <c r="L421" s="13">
        <f t="shared" si="4"/>
        <v>0.66666666666666663</v>
      </c>
      <c r="M421" s="13">
        <f>N421/Sheet1!$B421</f>
        <v>0.55238095238095242</v>
      </c>
      <c r="N421" s="2">
        <f t="shared" si="3"/>
        <v>232</v>
      </c>
      <c r="O421" s="2">
        <f>IF(Sheet1!$H421="ted",1,0)</f>
        <v>1</v>
      </c>
    </row>
    <row r="422" spans="1:15" ht="15.75" customHeight="1" x14ac:dyDescent="0.2">
      <c r="A422" s="11">
        <v>44628</v>
      </c>
      <c r="B422" s="12">
        <f t="shared" si="2"/>
        <v>421</v>
      </c>
      <c r="C422" s="10" t="s">
        <v>87</v>
      </c>
      <c r="D422" s="10" t="s">
        <v>91</v>
      </c>
      <c r="E422" s="10">
        <v>1</v>
      </c>
      <c r="F422" s="10" t="s">
        <v>3</v>
      </c>
      <c r="G422" s="10">
        <v>3</v>
      </c>
      <c r="H422" s="10" t="s">
        <v>8</v>
      </c>
      <c r="I422" s="10">
        <v>0</v>
      </c>
      <c r="K422" s="2">
        <v>0.5</v>
      </c>
      <c r="L422" s="13">
        <f t="shared" si="4"/>
        <v>0.77777777777777779</v>
      </c>
      <c r="M422" s="13">
        <f>N422/Sheet1!$B422</f>
        <v>0.55344418052256528</v>
      </c>
      <c r="N422" s="2">
        <f t="shared" si="3"/>
        <v>233</v>
      </c>
      <c r="O422" s="2">
        <f>IF(Sheet1!$H422="ted",1,0)</f>
        <v>1</v>
      </c>
    </row>
    <row r="423" spans="1:15" ht="15.75" customHeight="1" x14ac:dyDescent="0.2">
      <c r="A423" s="11">
        <v>44628</v>
      </c>
      <c r="B423" s="12">
        <f t="shared" si="2"/>
        <v>422</v>
      </c>
      <c r="C423" s="10" t="s">
        <v>87</v>
      </c>
      <c r="D423" s="10" t="s">
        <v>59</v>
      </c>
      <c r="E423" s="10">
        <v>0</v>
      </c>
      <c r="F423" s="10" t="s">
        <v>3</v>
      </c>
      <c r="G423" s="10">
        <v>2</v>
      </c>
      <c r="H423" s="10" t="s">
        <v>8</v>
      </c>
      <c r="I423" s="10">
        <v>0</v>
      </c>
      <c r="K423" s="2">
        <v>0.5</v>
      </c>
      <c r="L423" s="13">
        <f t="shared" si="4"/>
        <v>0.66666666666666663</v>
      </c>
      <c r="M423" s="13">
        <f>N423/Sheet1!$B423</f>
        <v>0.55213270142180093</v>
      </c>
      <c r="N423" s="2">
        <f t="shared" si="3"/>
        <v>233</v>
      </c>
      <c r="O423" s="2">
        <f>IF(Sheet1!$H423="ted",1,0)</f>
        <v>1</v>
      </c>
    </row>
    <row r="424" spans="1:15" ht="15.75" customHeight="1" x14ac:dyDescent="0.2">
      <c r="A424" s="11">
        <v>44628</v>
      </c>
      <c r="B424" s="12">
        <f t="shared" si="2"/>
        <v>423</v>
      </c>
      <c r="C424" s="10" t="s">
        <v>87</v>
      </c>
      <c r="D424" s="10" t="s">
        <v>59</v>
      </c>
      <c r="E424" s="10">
        <v>1</v>
      </c>
      <c r="F424" s="10" t="s">
        <v>3</v>
      </c>
      <c r="G424" s="10">
        <v>3</v>
      </c>
      <c r="H424" s="10" t="s">
        <v>59</v>
      </c>
      <c r="I424" s="10">
        <v>0</v>
      </c>
      <c r="K424" s="2">
        <v>0.5</v>
      </c>
      <c r="L424" s="13">
        <f t="shared" si="4"/>
        <v>0.77777777777777779</v>
      </c>
      <c r="M424" s="13">
        <f>N424/Sheet1!$B424</f>
        <v>0.55319148936170215</v>
      </c>
      <c r="N424" s="2">
        <f t="shared" si="3"/>
        <v>234</v>
      </c>
      <c r="O424" s="2">
        <f>IF(Sheet1!$H424="ted",1,0)</f>
        <v>0</v>
      </c>
    </row>
    <row r="425" spans="1:15" ht="15.75" customHeight="1" x14ac:dyDescent="0.2">
      <c r="A425" s="11">
        <v>44628</v>
      </c>
      <c r="B425" s="12">
        <f t="shared" si="2"/>
        <v>424</v>
      </c>
      <c r="C425" s="10" t="s">
        <v>87</v>
      </c>
      <c r="D425" s="10" t="s">
        <v>59</v>
      </c>
      <c r="E425" s="10">
        <v>1</v>
      </c>
      <c r="F425" s="10" t="s">
        <v>3</v>
      </c>
      <c r="G425" s="10">
        <v>1</v>
      </c>
      <c r="H425" s="10" t="s">
        <v>8</v>
      </c>
      <c r="I425" s="10">
        <v>0</v>
      </c>
      <c r="K425" s="2">
        <v>0.5</v>
      </c>
      <c r="L425" s="13">
        <f t="shared" si="4"/>
        <v>0.77777777777777779</v>
      </c>
      <c r="M425" s="13">
        <f>N425/Sheet1!$B425</f>
        <v>0.55424528301886788</v>
      </c>
      <c r="N425" s="2">
        <f t="shared" si="3"/>
        <v>235</v>
      </c>
      <c r="O425" s="2">
        <f>IF(Sheet1!$H425="ted",1,0)</f>
        <v>1</v>
      </c>
    </row>
    <row r="426" spans="1:15" ht="15.75" customHeight="1" x14ac:dyDescent="0.2">
      <c r="A426" s="11">
        <v>44628</v>
      </c>
      <c r="B426" s="12">
        <f t="shared" si="2"/>
        <v>425</v>
      </c>
      <c r="C426" s="10" t="s">
        <v>87</v>
      </c>
      <c r="D426" s="10" t="s">
        <v>59</v>
      </c>
      <c r="E426" s="10">
        <v>1</v>
      </c>
      <c r="F426" s="10" t="s">
        <v>4</v>
      </c>
      <c r="G426" s="10">
        <v>0</v>
      </c>
      <c r="H426" s="10" t="s">
        <v>8</v>
      </c>
      <c r="I426" s="10">
        <v>0</v>
      </c>
      <c r="K426" s="2">
        <v>0.5</v>
      </c>
      <c r="L426" s="13">
        <f t="shared" si="4"/>
        <v>0.77777777777777779</v>
      </c>
      <c r="M426" s="13">
        <f>N426/Sheet1!$B426</f>
        <v>0.55529411764705883</v>
      </c>
      <c r="N426" s="2">
        <f t="shared" si="3"/>
        <v>236</v>
      </c>
      <c r="O426" s="2">
        <f>IF(Sheet1!$H426="ted",1,0)</f>
        <v>1</v>
      </c>
    </row>
    <row r="427" spans="1:15" ht="15.75" customHeight="1" x14ac:dyDescent="0.2">
      <c r="A427" s="11">
        <v>44635</v>
      </c>
      <c r="B427" s="12">
        <f t="shared" si="2"/>
        <v>426</v>
      </c>
      <c r="C427" s="10" t="s">
        <v>87</v>
      </c>
      <c r="D427" s="10" t="s">
        <v>59</v>
      </c>
      <c r="E427" s="10">
        <v>0</v>
      </c>
      <c r="F427" s="10" t="s">
        <v>3</v>
      </c>
      <c r="G427" s="10">
        <v>7</v>
      </c>
      <c r="H427" s="10" t="s">
        <v>59</v>
      </c>
      <c r="I427" s="10">
        <v>0</v>
      </c>
      <c r="K427" s="2">
        <v>0.5</v>
      </c>
      <c r="L427" s="13">
        <f t="shared" si="4"/>
        <v>0.66666666666666663</v>
      </c>
      <c r="M427" s="13">
        <f>N427/Sheet1!$B427</f>
        <v>0.5539906103286385</v>
      </c>
      <c r="N427" s="2">
        <f t="shared" si="3"/>
        <v>236</v>
      </c>
      <c r="O427" s="2">
        <f>IF(Sheet1!$H427="ted",1,0)</f>
        <v>0</v>
      </c>
    </row>
    <row r="428" spans="1:15" ht="15.75" customHeight="1" x14ac:dyDescent="0.2">
      <c r="A428" s="11">
        <v>44635</v>
      </c>
      <c r="B428" s="12">
        <f t="shared" si="2"/>
        <v>427</v>
      </c>
      <c r="C428" s="10" t="s">
        <v>87</v>
      </c>
      <c r="D428" s="10" t="s">
        <v>59</v>
      </c>
      <c r="E428" s="10">
        <v>0</v>
      </c>
      <c r="F428" s="10" t="s">
        <v>3</v>
      </c>
      <c r="G428" s="10">
        <v>4</v>
      </c>
      <c r="H428" s="10" t="s">
        <v>59</v>
      </c>
      <c r="I428" s="10">
        <v>0</v>
      </c>
      <c r="K428" s="2">
        <v>0.5</v>
      </c>
      <c r="L428" s="13">
        <f t="shared" si="4"/>
        <v>0.66666666666666663</v>
      </c>
      <c r="M428" s="13">
        <f>N428/Sheet1!$B428</f>
        <v>0.5526932084309133</v>
      </c>
      <c r="N428" s="2">
        <f t="shared" si="3"/>
        <v>236</v>
      </c>
      <c r="O428" s="2">
        <f>IF(Sheet1!$H428="ted",1,0)</f>
        <v>0</v>
      </c>
    </row>
    <row r="429" spans="1:15" ht="15.75" customHeight="1" x14ac:dyDescent="0.2">
      <c r="A429" s="11">
        <v>44635</v>
      </c>
      <c r="B429" s="12">
        <f t="shared" si="2"/>
        <v>428</v>
      </c>
      <c r="C429" s="10" t="s">
        <v>87</v>
      </c>
      <c r="D429" s="10" t="s">
        <v>59</v>
      </c>
      <c r="E429" s="10">
        <v>1</v>
      </c>
      <c r="F429" s="10" t="s">
        <v>3</v>
      </c>
      <c r="G429" s="10">
        <v>3</v>
      </c>
      <c r="H429" s="10" t="s">
        <v>59</v>
      </c>
      <c r="I429" s="10">
        <v>0</v>
      </c>
      <c r="K429" s="2">
        <v>0.5</v>
      </c>
      <c r="L429" s="13">
        <f t="shared" si="4"/>
        <v>0.66666666666666663</v>
      </c>
      <c r="M429" s="13">
        <f>N429/Sheet1!$B429</f>
        <v>0.55373831775700932</v>
      </c>
      <c r="N429" s="2">
        <f t="shared" si="3"/>
        <v>237</v>
      </c>
      <c r="O429" s="2">
        <f>IF(Sheet1!$H429="ted",1,0)</f>
        <v>0</v>
      </c>
    </row>
    <row r="430" spans="1:15" ht="15.75" customHeight="1" x14ac:dyDescent="0.2">
      <c r="A430" s="11">
        <v>44635</v>
      </c>
      <c r="B430" s="12">
        <f t="shared" si="2"/>
        <v>429</v>
      </c>
      <c r="C430" s="10" t="s">
        <v>87</v>
      </c>
      <c r="D430" s="10" t="s">
        <v>59</v>
      </c>
      <c r="E430" s="10">
        <v>0</v>
      </c>
      <c r="F430" s="10" t="s">
        <v>3</v>
      </c>
      <c r="G430" s="10">
        <v>3</v>
      </c>
      <c r="H430" s="10" t="s">
        <v>8</v>
      </c>
      <c r="I430" s="10">
        <v>0</v>
      </c>
      <c r="K430" s="2">
        <v>0.5</v>
      </c>
      <c r="L430" s="13">
        <f t="shared" si="4"/>
        <v>0.55555555555555558</v>
      </c>
      <c r="M430" s="13">
        <f>N430/Sheet1!$B430</f>
        <v>0.55244755244755239</v>
      </c>
      <c r="N430" s="2">
        <f t="shared" si="3"/>
        <v>237</v>
      </c>
      <c r="O430" s="2">
        <f>IF(Sheet1!$H430="ted",1,0)</f>
        <v>1</v>
      </c>
    </row>
    <row r="431" spans="1:15" ht="15.75" customHeight="1" x14ac:dyDescent="0.2">
      <c r="A431" s="11">
        <v>44649</v>
      </c>
      <c r="B431" s="12">
        <f t="shared" si="2"/>
        <v>430</v>
      </c>
      <c r="C431" s="10" t="s">
        <v>87</v>
      </c>
      <c r="D431" s="10" t="s">
        <v>59</v>
      </c>
      <c r="E431" s="10">
        <v>1</v>
      </c>
      <c r="F431" s="10" t="s">
        <v>3</v>
      </c>
      <c r="G431" s="10">
        <v>2</v>
      </c>
      <c r="H431" s="10" t="s">
        <v>8</v>
      </c>
      <c r="I431" s="10">
        <v>0</v>
      </c>
      <c r="K431" s="2">
        <v>0.5</v>
      </c>
      <c r="L431" s="13">
        <f t="shared" si="4"/>
        <v>0.55555555555555558</v>
      </c>
      <c r="M431" s="13">
        <f>N431/Sheet1!$B431</f>
        <v>0.55348837209302326</v>
      </c>
      <c r="N431" s="2">
        <f t="shared" si="3"/>
        <v>238</v>
      </c>
      <c r="O431" s="2">
        <f>IF(Sheet1!$H431="ted",1,0)</f>
        <v>1</v>
      </c>
    </row>
    <row r="432" spans="1:15" ht="15.75" customHeight="1" x14ac:dyDescent="0.2">
      <c r="A432" s="11">
        <v>44649</v>
      </c>
      <c r="B432" s="12">
        <f t="shared" si="2"/>
        <v>431</v>
      </c>
      <c r="C432" s="10" t="s">
        <v>87</v>
      </c>
      <c r="D432" s="10" t="s">
        <v>59</v>
      </c>
      <c r="E432" s="10">
        <v>1</v>
      </c>
      <c r="F432" s="10" t="s">
        <v>3</v>
      </c>
      <c r="G432" s="10">
        <v>0</v>
      </c>
      <c r="H432" s="10" t="s">
        <v>8</v>
      </c>
      <c r="I432" s="10">
        <v>0</v>
      </c>
      <c r="K432" s="2">
        <v>0.5</v>
      </c>
      <c r="L432" s="13">
        <f t="shared" si="4"/>
        <v>0.66666666666666663</v>
      </c>
      <c r="M432" s="13">
        <f>N432/Sheet1!$B432</f>
        <v>0.55452436194895594</v>
      </c>
      <c r="N432" s="2">
        <f t="shared" si="3"/>
        <v>239</v>
      </c>
      <c r="O432" s="2">
        <f>IF(Sheet1!$H432="ted",1,0)</f>
        <v>1</v>
      </c>
    </row>
    <row r="433" spans="1:15" ht="15.75" customHeight="1" x14ac:dyDescent="0.2">
      <c r="A433" s="11">
        <v>44649</v>
      </c>
      <c r="B433" s="12">
        <f t="shared" si="2"/>
        <v>432</v>
      </c>
      <c r="C433" s="10" t="s">
        <v>87</v>
      </c>
      <c r="D433" s="10" t="s">
        <v>59</v>
      </c>
      <c r="E433" s="10">
        <v>1</v>
      </c>
      <c r="F433" s="10" t="s">
        <v>3</v>
      </c>
      <c r="G433" s="10">
        <v>2</v>
      </c>
      <c r="H433" s="10" t="s">
        <v>8</v>
      </c>
      <c r="I433" s="10">
        <v>0</v>
      </c>
      <c r="K433" s="2">
        <v>0.5</v>
      </c>
      <c r="L433" s="13">
        <f t="shared" si="4"/>
        <v>0.66666666666666663</v>
      </c>
      <c r="M433" s="13">
        <f>N433/Sheet1!$B433</f>
        <v>0.55555555555555558</v>
      </c>
      <c r="N433" s="2">
        <f t="shared" si="3"/>
        <v>240</v>
      </c>
      <c r="O433" s="2">
        <f>IF(Sheet1!$H433="ted",1,0)</f>
        <v>1</v>
      </c>
    </row>
    <row r="434" spans="1:15" ht="15.75" customHeight="1" x14ac:dyDescent="0.2">
      <c r="A434" s="11">
        <v>44649</v>
      </c>
      <c r="B434" s="12">
        <f t="shared" si="2"/>
        <v>433</v>
      </c>
      <c r="C434" s="10" t="s">
        <v>87</v>
      </c>
      <c r="D434" s="10" t="s">
        <v>59</v>
      </c>
      <c r="E434" s="10">
        <v>1</v>
      </c>
      <c r="F434" s="10" t="s">
        <v>3</v>
      </c>
      <c r="G434" s="10">
        <v>1</v>
      </c>
      <c r="H434" s="10" t="s">
        <v>8</v>
      </c>
      <c r="I434" s="10">
        <v>0</v>
      </c>
      <c r="K434" s="2">
        <v>0.5</v>
      </c>
      <c r="L434" s="13">
        <f t="shared" si="4"/>
        <v>0.66666666666666663</v>
      </c>
      <c r="M434" s="13">
        <f>N434/Sheet1!$B434</f>
        <v>0.5565819861431871</v>
      </c>
      <c r="N434" s="2">
        <f t="shared" si="3"/>
        <v>241</v>
      </c>
      <c r="O434" s="2">
        <f>IF(Sheet1!$H434="ted",1,0)</f>
        <v>1</v>
      </c>
    </row>
    <row r="435" spans="1:15" ht="15.75" customHeight="1" x14ac:dyDescent="0.2">
      <c r="A435" s="11">
        <v>44656</v>
      </c>
      <c r="B435" s="12">
        <f t="shared" si="2"/>
        <v>434</v>
      </c>
      <c r="C435" s="10" t="s">
        <v>87</v>
      </c>
      <c r="D435" s="10" t="s">
        <v>91</v>
      </c>
      <c r="E435" s="10">
        <v>1</v>
      </c>
      <c r="F435" s="10" t="s">
        <v>3</v>
      </c>
      <c r="G435" s="10">
        <v>1</v>
      </c>
      <c r="H435" s="10" t="s">
        <v>91</v>
      </c>
      <c r="I435" s="10">
        <v>0</v>
      </c>
      <c r="K435" s="2">
        <v>0.5</v>
      </c>
      <c r="L435" s="13">
        <f t="shared" si="4"/>
        <v>0.66666666666666663</v>
      </c>
      <c r="M435" s="13">
        <f>N435/Sheet1!$B435</f>
        <v>0.55760368663594473</v>
      </c>
      <c r="N435" s="2">
        <f t="shared" si="3"/>
        <v>242</v>
      </c>
      <c r="O435" s="2">
        <f>IF(Sheet1!$H435="ted",1,0)</f>
        <v>0</v>
      </c>
    </row>
    <row r="436" spans="1:15" ht="15.75" customHeight="1" x14ac:dyDescent="0.2">
      <c r="A436" s="11">
        <v>44656</v>
      </c>
      <c r="B436" s="12">
        <f t="shared" si="2"/>
        <v>435</v>
      </c>
      <c r="C436" s="10" t="s">
        <v>87</v>
      </c>
      <c r="D436" s="10" t="s">
        <v>59</v>
      </c>
      <c r="E436" s="10">
        <v>0</v>
      </c>
      <c r="F436" s="10" t="s">
        <v>3</v>
      </c>
      <c r="G436" s="10">
        <v>1</v>
      </c>
      <c r="H436" s="10" t="s">
        <v>59</v>
      </c>
      <c r="I436" s="10">
        <v>0</v>
      </c>
      <c r="K436" s="2">
        <v>0.5</v>
      </c>
      <c r="L436" s="13">
        <f t="shared" si="4"/>
        <v>0.66666666666666663</v>
      </c>
      <c r="M436" s="13">
        <f>N436/Sheet1!$B436</f>
        <v>0.55632183908045973</v>
      </c>
      <c r="N436" s="2">
        <f t="shared" si="3"/>
        <v>242</v>
      </c>
      <c r="O436" s="2">
        <f>IF(Sheet1!$H436="ted",1,0)</f>
        <v>0</v>
      </c>
    </row>
    <row r="437" spans="1:15" ht="15.75" customHeight="1" x14ac:dyDescent="0.2">
      <c r="A437" s="11">
        <v>44660</v>
      </c>
      <c r="B437" s="12">
        <f t="shared" si="2"/>
        <v>436</v>
      </c>
      <c r="C437" s="10" t="s">
        <v>87</v>
      </c>
      <c r="D437" s="10" t="s">
        <v>90</v>
      </c>
      <c r="E437" s="10">
        <v>1</v>
      </c>
      <c r="F437" s="10" t="s">
        <v>3</v>
      </c>
      <c r="G437" s="10">
        <v>3</v>
      </c>
      <c r="H437" s="10" t="s">
        <v>90</v>
      </c>
      <c r="I437" s="10">
        <v>0</v>
      </c>
      <c r="K437" s="2">
        <v>0.5</v>
      </c>
      <c r="L437" s="13">
        <f t="shared" si="4"/>
        <v>0.77777777777777779</v>
      </c>
      <c r="M437" s="13">
        <f>N437/Sheet1!$B437</f>
        <v>0.55733944954128445</v>
      </c>
      <c r="N437" s="2">
        <f t="shared" si="3"/>
        <v>243</v>
      </c>
      <c r="O437" s="2">
        <f>IF(Sheet1!$H437="ted",1,0)</f>
        <v>0</v>
      </c>
    </row>
    <row r="438" spans="1:15" ht="15.75" customHeight="1" x14ac:dyDescent="0.2">
      <c r="A438" s="11">
        <v>44660</v>
      </c>
      <c r="B438" s="12">
        <f t="shared" si="2"/>
        <v>437</v>
      </c>
      <c r="C438" s="10" t="s">
        <v>87</v>
      </c>
      <c r="D438" s="10" t="s">
        <v>77</v>
      </c>
      <c r="E438" s="10">
        <v>0</v>
      </c>
      <c r="F438" s="10" t="s">
        <v>3</v>
      </c>
      <c r="G438" s="10">
        <v>1</v>
      </c>
      <c r="H438" s="10" t="s">
        <v>77</v>
      </c>
      <c r="I438" s="10">
        <v>0</v>
      </c>
      <c r="K438" s="2">
        <v>0.5</v>
      </c>
      <c r="L438" s="13">
        <f t="shared" si="4"/>
        <v>0.66666666666666663</v>
      </c>
      <c r="M438" s="13">
        <f>N438/Sheet1!$B438</f>
        <v>0.55606407322654461</v>
      </c>
      <c r="N438" s="2">
        <f t="shared" si="3"/>
        <v>243</v>
      </c>
      <c r="O438" s="2">
        <f>IF(Sheet1!$H438="ted",1,0)</f>
        <v>0</v>
      </c>
    </row>
    <row r="439" spans="1:15" ht="15.75" customHeight="1" x14ac:dyDescent="0.2">
      <c r="A439" s="11">
        <v>44660</v>
      </c>
      <c r="B439" s="12">
        <f t="shared" si="2"/>
        <v>438</v>
      </c>
      <c r="C439" s="10" t="s">
        <v>87</v>
      </c>
      <c r="D439" s="10" t="s">
        <v>77</v>
      </c>
      <c r="E439" s="10">
        <v>1</v>
      </c>
      <c r="F439" s="10" t="s">
        <v>2</v>
      </c>
      <c r="G439" s="10">
        <v>4</v>
      </c>
      <c r="H439" s="10" t="s">
        <v>77</v>
      </c>
      <c r="I439" s="10">
        <v>3</v>
      </c>
      <c r="K439" s="2">
        <v>0.5</v>
      </c>
      <c r="L439" s="13">
        <f t="shared" si="4"/>
        <v>0.77777777777777779</v>
      </c>
      <c r="M439" s="13">
        <f>N439/Sheet1!$B439</f>
        <v>0.55707762557077622</v>
      </c>
      <c r="N439" s="2">
        <f t="shared" si="3"/>
        <v>244</v>
      </c>
      <c r="O439" s="2">
        <f>IF(Sheet1!$H439="ted",1,0)</f>
        <v>0</v>
      </c>
    </row>
    <row r="440" spans="1:15" ht="15.75" customHeight="1" x14ac:dyDescent="0.2">
      <c r="A440" s="11">
        <v>44660</v>
      </c>
      <c r="B440" s="12">
        <f t="shared" si="2"/>
        <v>439</v>
      </c>
      <c r="C440" s="10" t="s">
        <v>87</v>
      </c>
      <c r="D440" s="10" t="s">
        <v>77</v>
      </c>
      <c r="E440" s="10">
        <v>1</v>
      </c>
      <c r="F440" s="10" t="s">
        <v>3</v>
      </c>
      <c r="G440" s="10">
        <v>4</v>
      </c>
      <c r="H440" s="10" t="s">
        <v>8</v>
      </c>
      <c r="I440" s="10">
        <v>0</v>
      </c>
      <c r="K440" s="2">
        <v>0.5</v>
      </c>
      <c r="L440" s="13">
        <f t="shared" si="4"/>
        <v>0.77777777777777779</v>
      </c>
      <c r="M440" s="13">
        <f>N440/Sheet1!$B440</f>
        <v>0.55808656036446469</v>
      </c>
      <c r="N440" s="2">
        <f t="shared" si="3"/>
        <v>245</v>
      </c>
      <c r="O440" s="2">
        <f>IF(Sheet1!$H440="ted",1,0)</f>
        <v>1</v>
      </c>
    </row>
    <row r="441" spans="1:15" ht="15.75" customHeight="1" x14ac:dyDescent="0.2">
      <c r="A441" s="11">
        <v>44660</v>
      </c>
      <c r="B441" s="12">
        <f t="shared" si="2"/>
        <v>440</v>
      </c>
      <c r="C441" s="10" t="s">
        <v>87</v>
      </c>
      <c r="D441" s="10" t="s">
        <v>77</v>
      </c>
      <c r="E441" s="10">
        <v>1</v>
      </c>
      <c r="F441" s="10" t="s">
        <v>2</v>
      </c>
      <c r="G441" s="10">
        <v>2</v>
      </c>
      <c r="H441" s="10" t="s">
        <v>8</v>
      </c>
      <c r="I441" s="10">
        <v>0</v>
      </c>
      <c r="K441" s="2">
        <v>0.5</v>
      </c>
      <c r="L441" s="13">
        <f t="shared" si="4"/>
        <v>0.77777777777777779</v>
      </c>
      <c r="M441" s="13">
        <f>N441/Sheet1!$B441</f>
        <v>0.55909090909090908</v>
      </c>
      <c r="N441" s="2">
        <f t="shared" si="3"/>
        <v>246</v>
      </c>
      <c r="O441" s="2">
        <f>IF(Sheet1!$H441="ted",1,0)</f>
        <v>1</v>
      </c>
    </row>
    <row r="442" spans="1:15" ht="15.75" customHeight="1" x14ac:dyDescent="0.2">
      <c r="A442" s="11">
        <v>44660</v>
      </c>
      <c r="B442" s="12">
        <f t="shared" si="2"/>
        <v>441</v>
      </c>
      <c r="C442" s="10" t="s">
        <v>87</v>
      </c>
      <c r="D442" s="10" t="s">
        <v>77</v>
      </c>
      <c r="E442" s="10">
        <v>1</v>
      </c>
      <c r="F442" s="10" t="s">
        <v>3</v>
      </c>
      <c r="G442" s="10">
        <v>3</v>
      </c>
      <c r="H442" s="10" t="s">
        <v>77</v>
      </c>
      <c r="I442" s="10">
        <v>0</v>
      </c>
      <c r="K442" s="2">
        <v>0.5</v>
      </c>
      <c r="L442" s="13">
        <f t="shared" si="4"/>
        <v>0.77777777777777779</v>
      </c>
      <c r="M442" s="13">
        <f>N442/Sheet1!$B442</f>
        <v>0.5600907029478458</v>
      </c>
      <c r="N442" s="2">
        <f t="shared" si="3"/>
        <v>247</v>
      </c>
      <c r="O442" s="2">
        <f>IF(Sheet1!$H442="ted",1,0)</f>
        <v>0</v>
      </c>
    </row>
    <row r="443" spans="1:15" ht="15.75" customHeight="1" x14ac:dyDescent="0.2">
      <c r="A443" s="11">
        <v>44660</v>
      </c>
      <c r="B443" s="12">
        <f t="shared" si="2"/>
        <v>442</v>
      </c>
      <c r="C443" s="10" t="s">
        <v>87</v>
      </c>
      <c r="D443" s="10" t="s">
        <v>77</v>
      </c>
      <c r="E443" s="10">
        <v>1</v>
      </c>
      <c r="F443" s="10" t="s">
        <v>3</v>
      </c>
      <c r="G443" s="10">
        <v>1</v>
      </c>
      <c r="H443" s="10" t="s">
        <v>8</v>
      </c>
      <c r="I443" s="10">
        <v>0</v>
      </c>
      <c r="K443" s="2">
        <v>0.5</v>
      </c>
      <c r="L443" s="13">
        <f t="shared" si="4"/>
        <v>0.77777777777777779</v>
      </c>
      <c r="M443" s="13">
        <f>N443/Sheet1!$B443</f>
        <v>0.56108597285067874</v>
      </c>
      <c r="N443" s="2">
        <f t="shared" si="3"/>
        <v>248</v>
      </c>
      <c r="O443" s="2">
        <f>IF(Sheet1!$H443="ted",1,0)</f>
        <v>1</v>
      </c>
    </row>
    <row r="444" spans="1:15" ht="15.75" customHeight="1" x14ac:dyDescent="0.2">
      <c r="A444" s="11">
        <v>44669</v>
      </c>
      <c r="B444" s="12">
        <f t="shared" si="2"/>
        <v>443</v>
      </c>
      <c r="C444" s="10" t="s">
        <v>87</v>
      </c>
      <c r="D444" s="10" t="s">
        <v>59</v>
      </c>
      <c r="E444" s="10">
        <v>0</v>
      </c>
      <c r="F444" s="10" t="s">
        <v>3</v>
      </c>
      <c r="G444" s="10">
        <v>0</v>
      </c>
      <c r="H444" s="10" t="s">
        <v>59</v>
      </c>
      <c r="I444" s="10">
        <v>0</v>
      </c>
      <c r="K444" s="2">
        <v>0.5</v>
      </c>
      <c r="L444" s="13">
        <f t="shared" si="4"/>
        <v>0.66666666666666663</v>
      </c>
      <c r="M444" s="13">
        <f>N444/Sheet1!$B444</f>
        <v>0.55981941309255079</v>
      </c>
      <c r="N444" s="2">
        <f t="shared" si="3"/>
        <v>248</v>
      </c>
      <c r="O444" s="2">
        <f>IF(Sheet1!$H444="ted",1,0)</f>
        <v>0</v>
      </c>
    </row>
    <row r="445" spans="1:15" ht="15.75" customHeight="1" x14ac:dyDescent="0.2">
      <c r="A445" s="11">
        <v>44669</v>
      </c>
      <c r="B445" s="12">
        <f t="shared" si="2"/>
        <v>444</v>
      </c>
      <c r="C445" s="10" t="s">
        <v>87</v>
      </c>
      <c r="D445" s="10" t="s">
        <v>59</v>
      </c>
      <c r="E445" s="10">
        <v>0</v>
      </c>
      <c r="F445" s="10" t="s">
        <v>3</v>
      </c>
      <c r="G445" s="10">
        <v>2</v>
      </c>
      <c r="H445" s="10" t="s">
        <v>59</v>
      </c>
      <c r="I445" s="10">
        <v>0</v>
      </c>
      <c r="K445" s="2">
        <v>0.5</v>
      </c>
      <c r="L445" s="13">
        <f t="shared" si="4"/>
        <v>0.66666666666666663</v>
      </c>
      <c r="M445" s="13">
        <f>N445/Sheet1!$B445</f>
        <v>0.55855855855855852</v>
      </c>
      <c r="N445" s="2">
        <f t="shared" si="3"/>
        <v>248</v>
      </c>
      <c r="O445" s="2">
        <f>IF(Sheet1!$H445="ted",1,0)</f>
        <v>0</v>
      </c>
    </row>
    <row r="446" spans="1:15" ht="15.75" customHeight="1" x14ac:dyDescent="0.2">
      <c r="A446" s="11">
        <v>44669</v>
      </c>
      <c r="B446" s="12">
        <f t="shared" si="2"/>
        <v>445</v>
      </c>
      <c r="C446" s="10" t="s">
        <v>87</v>
      </c>
      <c r="D446" s="10" t="s">
        <v>59</v>
      </c>
      <c r="E446" s="10">
        <v>0</v>
      </c>
      <c r="F446" s="10" t="s">
        <v>3</v>
      </c>
      <c r="G446" s="10">
        <v>0</v>
      </c>
      <c r="H446" s="10" t="s">
        <v>59</v>
      </c>
      <c r="I446" s="10">
        <v>0</v>
      </c>
      <c r="K446" s="2">
        <v>0.5</v>
      </c>
      <c r="L446" s="13">
        <f t="shared" si="4"/>
        <v>0.55555555555555558</v>
      </c>
      <c r="M446" s="13">
        <f>N446/Sheet1!$B446</f>
        <v>0.55730337078651682</v>
      </c>
      <c r="N446" s="2">
        <f t="shared" si="3"/>
        <v>248</v>
      </c>
      <c r="O446" s="2">
        <f>IF(Sheet1!$H446="ted",1,0)</f>
        <v>0</v>
      </c>
    </row>
    <row r="447" spans="1:15" ht="15.75" customHeight="1" x14ac:dyDescent="0.2">
      <c r="A447" s="11">
        <v>44669</v>
      </c>
      <c r="B447" s="12">
        <f t="shared" si="2"/>
        <v>446</v>
      </c>
      <c r="C447" s="10" t="s">
        <v>87</v>
      </c>
      <c r="D447" s="10" t="s">
        <v>59</v>
      </c>
      <c r="E447" s="10">
        <v>0</v>
      </c>
      <c r="F447" s="10" t="s">
        <v>3</v>
      </c>
      <c r="G447" s="10">
        <v>2</v>
      </c>
      <c r="H447" s="10" t="s">
        <v>59</v>
      </c>
      <c r="I447" s="10">
        <v>0</v>
      </c>
      <c r="K447" s="2">
        <v>0.5</v>
      </c>
      <c r="L447" s="13">
        <f t="shared" si="4"/>
        <v>0.55555555555555558</v>
      </c>
      <c r="M447" s="13">
        <f>N447/Sheet1!$B447</f>
        <v>0.55605381165919288</v>
      </c>
      <c r="N447" s="2">
        <f t="shared" si="3"/>
        <v>248</v>
      </c>
      <c r="O447" s="2">
        <f>IF(Sheet1!$H447="ted",1,0)</f>
        <v>0</v>
      </c>
    </row>
    <row r="448" spans="1:15" ht="15.75" customHeight="1" x14ac:dyDescent="0.2">
      <c r="A448" s="11">
        <v>44676</v>
      </c>
      <c r="B448" s="12">
        <f t="shared" si="2"/>
        <v>447</v>
      </c>
      <c r="C448" s="10" t="s">
        <v>87</v>
      </c>
      <c r="D448" s="10" t="s">
        <v>57</v>
      </c>
      <c r="E448" s="10">
        <v>1</v>
      </c>
      <c r="F448" s="10" t="s">
        <v>4</v>
      </c>
      <c r="G448" s="10">
        <v>0</v>
      </c>
      <c r="H448" s="10" t="s">
        <v>57</v>
      </c>
      <c r="I448" s="10">
        <v>1</v>
      </c>
      <c r="K448" s="2">
        <v>0.5</v>
      </c>
      <c r="L448" s="13">
        <f t="shared" si="4"/>
        <v>0.55555555555555558</v>
      </c>
      <c r="M448" s="13">
        <f>N448/Sheet1!$B448</f>
        <v>0.55704697986577179</v>
      </c>
      <c r="N448" s="2">
        <f t="shared" si="3"/>
        <v>249</v>
      </c>
      <c r="O448" s="2">
        <f>IF(Sheet1!$H448="ted",1,0)</f>
        <v>0</v>
      </c>
    </row>
    <row r="449" spans="1:15" ht="15.75" customHeight="1" x14ac:dyDescent="0.2">
      <c r="A449" s="11">
        <v>44681</v>
      </c>
      <c r="B449" s="12">
        <f t="shared" si="2"/>
        <v>448</v>
      </c>
      <c r="C449" s="10" t="s">
        <v>87</v>
      </c>
      <c r="D449" s="10" t="s">
        <v>97</v>
      </c>
      <c r="E449" s="10">
        <v>1</v>
      </c>
      <c r="F449" s="10" t="s">
        <v>3</v>
      </c>
      <c r="G449" s="10">
        <v>0</v>
      </c>
      <c r="H449" s="10" t="s">
        <v>8</v>
      </c>
      <c r="I449" s="10">
        <v>0</v>
      </c>
      <c r="K449" s="2">
        <v>0.5</v>
      </c>
      <c r="L449" s="13">
        <f t="shared" si="4"/>
        <v>0.55555555555555558</v>
      </c>
      <c r="M449" s="13">
        <f>N449/Sheet1!$B449</f>
        <v>0.5580357142857143</v>
      </c>
      <c r="N449" s="2">
        <f t="shared" si="3"/>
        <v>250</v>
      </c>
      <c r="O449" s="2">
        <f>IF(Sheet1!$H449="ted",1,0)</f>
        <v>1</v>
      </c>
    </row>
    <row r="450" spans="1:15" ht="15.75" customHeight="1" x14ac:dyDescent="0.2">
      <c r="A450" s="11">
        <v>44681</v>
      </c>
      <c r="B450" s="12">
        <f t="shared" si="2"/>
        <v>449</v>
      </c>
      <c r="C450" s="10" t="s">
        <v>87</v>
      </c>
      <c r="D450" s="10" t="s">
        <v>59</v>
      </c>
      <c r="E450" s="10">
        <v>1</v>
      </c>
      <c r="F450" s="10" t="s">
        <v>3</v>
      </c>
      <c r="G450" s="10">
        <v>1</v>
      </c>
      <c r="H450" s="10" t="s">
        <v>59</v>
      </c>
      <c r="I450" s="10">
        <v>0</v>
      </c>
      <c r="K450" s="2">
        <v>0.5</v>
      </c>
      <c r="L450" s="13">
        <f t="shared" si="4"/>
        <v>0.55555555555555558</v>
      </c>
      <c r="M450" s="13">
        <f>N450/Sheet1!$B450</f>
        <v>0.55902004454342979</v>
      </c>
      <c r="N450" s="2">
        <f t="shared" si="3"/>
        <v>251</v>
      </c>
      <c r="O450" s="2">
        <f>IF(Sheet1!$H450="ted",1,0)</f>
        <v>0</v>
      </c>
    </row>
    <row r="451" spans="1:15" ht="15.75" customHeight="1" x14ac:dyDescent="0.2">
      <c r="A451" s="11">
        <v>44681</v>
      </c>
      <c r="B451" s="12">
        <f t="shared" si="2"/>
        <v>450</v>
      </c>
      <c r="C451" s="10" t="s">
        <v>87</v>
      </c>
      <c r="D451" s="10" t="s">
        <v>57</v>
      </c>
      <c r="E451" s="10">
        <v>1</v>
      </c>
      <c r="F451" s="10" t="s">
        <v>3</v>
      </c>
      <c r="G451" s="10">
        <v>4</v>
      </c>
      <c r="H451" s="10" t="s">
        <v>57</v>
      </c>
      <c r="I451" s="10">
        <v>0</v>
      </c>
      <c r="K451" s="2">
        <v>0.5</v>
      </c>
      <c r="L451" s="13">
        <f t="shared" si="4"/>
        <v>0.55555555555555558</v>
      </c>
      <c r="M451" s="13">
        <f>N451/Sheet1!$B451</f>
        <v>0.56000000000000005</v>
      </c>
      <c r="N451" s="2">
        <f t="shared" si="3"/>
        <v>252</v>
      </c>
      <c r="O451" s="2">
        <f>IF(Sheet1!$H451="ted",1,0)</f>
        <v>0</v>
      </c>
    </row>
    <row r="452" spans="1:15" ht="15.75" customHeight="1" x14ac:dyDescent="0.2">
      <c r="A452" s="11">
        <v>44681</v>
      </c>
      <c r="B452" s="12">
        <f t="shared" si="2"/>
        <v>451</v>
      </c>
      <c r="C452" s="10" t="s">
        <v>87</v>
      </c>
      <c r="D452" s="10" t="s">
        <v>59</v>
      </c>
      <c r="E452" s="10">
        <v>1</v>
      </c>
      <c r="F452" s="10" t="s">
        <v>3</v>
      </c>
      <c r="G452" s="10">
        <v>0</v>
      </c>
      <c r="H452" s="10" t="s">
        <v>8</v>
      </c>
      <c r="I452" s="10">
        <v>0</v>
      </c>
      <c r="K452" s="2">
        <v>0.5</v>
      </c>
      <c r="L452" s="13">
        <f t="shared" si="4"/>
        <v>0.55555555555555558</v>
      </c>
      <c r="M452" s="13">
        <f>N452/Sheet1!$B452</f>
        <v>0.56097560975609762</v>
      </c>
      <c r="N452" s="2">
        <f t="shared" si="3"/>
        <v>253</v>
      </c>
      <c r="O452" s="2">
        <f>IF(Sheet1!$H452="ted",1,0)</f>
        <v>1</v>
      </c>
    </row>
    <row r="453" spans="1:15" ht="15.75" customHeight="1" x14ac:dyDescent="0.2">
      <c r="A453" s="11">
        <v>44681</v>
      </c>
      <c r="B453" s="12">
        <f t="shared" si="2"/>
        <v>452</v>
      </c>
      <c r="C453" s="10" t="s">
        <v>87</v>
      </c>
      <c r="D453" s="10" t="s">
        <v>59</v>
      </c>
      <c r="E453" s="10">
        <v>0</v>
      </c>
      <c r="F453" s="10" t="s">
        <v>3</v>
      </c>
      <c r="G453" s="10">
        <v>1</v>
      </c>
      <c r="H453" s="10" t="s">
        <v>8</v>
      </c>
      <c r="I453" s="10">
        <v>0</v>
      </c>
      <c r="K453" s="2">
        <v>0.5</v>
      </c>
      <c r="L453" s="13">
        <f t="shared" si="4"/>
        <v>0.55555555555555558</v>
      </c>
      <c r="M453" s="13">
        <f>N453/Sheet1!$B453</f>
        <v>0.55973451327433632</v>
      </c>
      <c r="N453" s="2">
        <f t="shared" si="3"/>
        <v>253</v>
      </c>
      <c r="O453" s="2">
        <f>IF(Sheet1!$H453="ted",1,0)</f>
        <v>1</v>
      </c>
    </row>
    <row r="454" spans="1:15" ht="15.75" customHeight="1" x14ac:dyDescent="0.2">
      <c r="A454" s="11">
        <v>44681</v>
      </c>
      <c r="B454" s="12">
        <f t="shared" si="2"/>
        <v>453</v>
      </c>
      <c r="C454" s="10" t="s">
        <v>87</v>
      </c>
      <c r="D454" s="10" t="s">
        <v>59</v>
      </c>
      <c r="E454" s="10">
        <v>0</v>
      </c>
      <c r="F454" s="10" t="s">
        <v>3</v>
      </c>
      <c r="G454" s="10">
        <v>0</v>
      </c>
      <c r="H454" s="10" t="s">
        <v>59</v>
      </c>
      <c r="I454" s="10">
        <v>0</v>
      </c>
      <c r="K454" s="2">
        <v>0.5</v>
      </c>
      <c r="L454" s="13">
        <f t="shared" si="4"/>
        <v>0.55555555555555558</v>
      </c>
      <c r="M454" s="13">
        <f>N454/Sheet1!$B454</f>
        <v>0.55849889624724058</v>
      </c>
      <c r="N454" s="2">
        <f t="shared" si="3"/>
        <v>253</v>
      </c>
      <c r="O454" s="2">
        <f>IF(Sheet1!$H454="ted",1,0)</f>
        <v>0</v>
      </c>
    </row>
    <row r="455" spans="1:15" ht="15.75" customHeight="1" x14ac:dyDescent="0.2">
      <c r="A455" s="11">
        <v>44681</v>
      </c>
      <c r="B455" s="12">
        <f t="shared" si="2"/>
        <v>454</v>
      </c>
      <c r="C455" s="10" t="s">
        <v>87</v>
      </c>
      <c r="D455" s="10" t="s">
        <v>59</v>
      </c>
      <c r="E455" s="10">
        <v>0</v>
      </c>
      <c r="F455" s="10" t="s">
        <v>3</v>
      </c>
      <c r="G455" s="10">
        <v>2</v>
      </c>
      <c r="H455" s="10" t="s">
        <v>59</v>
      </c>
      <c r="I455" s="10">
        <v>0</v>
      </c>
      <c r="K455" s="2">
        <v>0.5</v>
      </c>
      <c r="L455" s="13">
        <f t="shared" si="4"/>
        <v>0.55555555555555558</v>
      </c>
      <c r="M455" s="13">
        <f>N455/Sheet1!$B455</f>
        <v>0.55726872246696035</v>
      </c>
      <c r="N455" s="2">
        <f t="shared" si="3"/>
        <v>253</v>
      </c>
      <c r="O455" s="2">
        <f>IF(Sheet1!$H455="ted",1,0)</f>
        <v>0</v>
      </c>
    </row>
    <row r="456" spans="1:15" ht="15.75" customHeight="1" x14ac:dyDescent="0.2">
      <c r="A456" s="11">
        <v>44715</v>
      </c>
      <c r="B456" s="12">
        <f t="shared" si="2"/>
        <v>455</v>
      </c>
      <c r="C456" s="10" t="s">
        <v>87</v>
      </c>
      <c r="D456" s="10" t="s">
        <v>59</v>
      </c>
      <c r="E456" s="10">
        <v>1</v>
      </c>
      <c r="F456" s="10" t="s">
        <v>3</v>
      </c>
      <c r="G456" s="10">
        <v>2</v>
      </c>
      <c r="H456" s="10" t="s">
        <v>59</v>
      </c>
      <c r="I456" s="10">
        <v>0</v>
      </c>
      <c r="K456" s="2">
        <v>0.5</v>
      </c>
      <c r="L456" s="13">
        <f t="shared" si="4"/>
        <v>0.66666666666666663</v>
      </c>
      <c r="M456" s="13">
        <f>N456/Sheet1!$B456</f>
        <v>0.55824175824175826</v>
      </c>
      <c r="N456" s="2">
        <f t="shared" si="3"/>
        <v>254</v>
      </c>
      <c r="O456" s="2">
        <f>IF(Sheet1!$H456="ted",1,0)</f>
        <v>0</v>
      </c>
    </row>
    <row r="457" spans="1:15" ht="15.75" customHeight="1" x14ac:dyDescent="0.2">
      <c r="A457" s="11">
        <v>44715</v>
      </c>
      <c r="B457" s="12">
        <f t="shared" si="2"/>
        <v>456</v>
      </c>
      <c r="C457" s="10" t="s">
        <v>87</v>
      </c>
      <c r="D457" s="10" t="s">
        <v>90</v>
      </c>
      <c r="E457" s="10">
        <v>1</v>
      </c>
      <c r="F457" s="10" t="s">
        <v>3</v>
      </c>
      <c r="G457" s="10">
        <v>2</v>
      </c>
      <c r="H457" s="10" t="s">
        <v>8</v>
      </c>
      <c r="I457" s="10">
        <v>0</v>
      </c>
      <c r="K457" s="2">
        <v>0.5</v>
      </c>
      <c r="L457" s="13">
        <f t="shared" si="4"/>
        <v>0.66666666666666663</v>
      </c>
      <c r="M457" s="13">
        <f>N457/Sheet1!$B457</f>
        <v>0.55921052631578949</v>
      </c>
      <c r="N457" s="2">
        <f t="shared" si="3"/>
        <v>255</v>
      </c>
      <c r="O457" s="2">
        <f>IF(Sheet1!$H457="ted",1,0)</f>
        <v>1</v>
      </c>
    </row>
    <row r="458" spans="1:15" ht="15.75" customHeight="1" x14ac:dyDescent="0.2">
      <c r="A458" s="11">
        <v>44715</v>
      </c>
      <c r="B458" s="12">
        <f t="shared" si="2"/>
        <v>457</v>
      </c>
      <c r="C458" s="10" t="s">
        <v>87</v>
      </c>
      <c r="D458" s="10" t="s">
        <v>59</v>
      </c>
      <c r="E458" s="10">
        <v>1</v>
      </c>
      <c r="F458" s="10" t="s">
        <v>3</v>
      </c>
      <c r="G458" s="10">
        <v>3</v>
      </c>
      <c r="H458" s="10" t="s">
        <v>8</v>
      </c>
      <c r="I458" s="10">
        <v>0</v>
      </c>
      <c r="K458" s="2">
        <v>0.5</v>
      </c>
      <c r="L458" s="13">
        <f t="shared" si="4"/>
        <v>0.66666666666666663</v>
      </c>
      <c r="M458" s="13">
        <f>N458/Sheet1!$B458</f>
        <v>0.56017505470459517</v>
      </c>
      <c r="N458" s="2">
        <f t="shared" si="3"/>
        <v>256</v>
      </c>
      <c r="O458" s="2">
        <f>IF(Sheet1!$H458="ted",1,0)</f>
        <v>1</v>
      </c>
    </row>
    <row r="459" spans="1:15" ht="15.75" customHeight="1" x14ac:dyDescent="0.2">
      <c r="A459" s="11">
        <v>44727</v>
      </c>
      <c r="B459" s="12">
        <f t="shared" si="2"/>
        <v>458</v>
      </c>
      <c r="C459" s="10" t="s">
        <v>87</v>
      </c>
      <c r="D459" s="10" t="s">
        <v>57</v>
      </c>
      <c r="E459" s="10">
        <v>1</v>
      </c>
      <c r="F459" s="10" t="s">
        <v>3</v>
      </c>
      <c r="G459" s="10">
        <v>0</v>
      </c>
      <c r="H459" s="10" t="s">
        <v>8</v>
      </c>
      <c r="I459" s="10">
        <v>0</v>
      </c>
      <c r="K459" s="2">
        <v>0.5</v>
      </c>
      <c r="L459" s="13">
        <f t="shared" si="4"/>
        <v>0.66666666666666663</v>
      </c>
      <c r="M459" s="13">
        <f>N459/Sheet1!$B459</f>
        <v>0.56113537117903933</v>
      </c>
      <c r="N459" s="2">
        <f t="shared" si="3"/>
        <v>257</v>
      </c>
      <c r="O459" s="2">
        <f>IF(Sheet1!$H459="ted",1,0)</f>
        <v>1</v>
      </c>
    </row>
    <row r="460" spans="1:15" ht="15.75" customHeight="1" x14ac:dyDescent="0.2">
      <c r="A460" s="11">
        <v>44727</v>
      </c>
      <c r="B460" s="12">
        <f t="shared" si="2"/>
        <v>459</v>
      </c>
      <c r="C460" s="10" t="s">
        <v>87</v>
      </c>
      <c r="D460" s="10" t="s">
        <v>90</v>
      </c>
      <c r="E460" s="10">
        <v>1</v>
      </c>
      <c r="F460" s="10" t="s">
        <v>3</v>
      </c>
      <c r="G460" s="10">
        <v>1</v>
      </c>
      <c r="H460" s="10" t="s">
        <v>8</v>
      </c>
      <c r="I460" s="10">
        <v>0</v>
      </c>
      <c r="K460" s="2">
        <v>0.5</v>
      </c>
      <c r="L460" s="13">
        <f t="shared" si="4"/>
        <v>0.66666666666666663</v>
      </c>
      <c r="M460" s="13">
        <f>N460/Sheet1!$B460</f>
        <v>0.56209150326797386</v>
      </c>
      <c r="N460" s="2">
        <f t="shared" si="3"/>
        <v>258</v>
      </c>
      <c r="O460" s="2">
        <f>IF(Sheet1!$H460="ted",1,0)</f>
        <v>1</v>
      </c>
    </row>
    <row r="461" spans="1:15" ht="15.75" customHeight="1" x14ac:dyDescent="0.2">
      <c r="A461" s="11">
        <v>44727</v>
      </c>
      <c r="B461" s="12">
        <f t="shared" si="2"/>
        <v>460</v>
      </c>
      <c r="C461" s="10" t="s">
        <v>87</v>
      </c>
      <c r="D461" s="10" t="s">
        <v>91</v>
      </c>
      <c r="E461" s="10">
        <v>1</v>
      </c>
      <c r="F461" s="10" t="s">
        <v>3</v>
      </c>
      <c r="G461" s="10">
        <v>1</v>
      </c>
      <c r="H461" s="10" t="s">
        <v>8</v>
      </c>
      <c r="I461" s="10">
        <v>0</v>
      </c>
      <c r="K461" s="2">
        <v>0.5</v>
      </c>
      <c r="L461" s="13">
        <f t="shared" si="4"/>
        <v>0.66666666666666663</v>
      </c>
      <c r="M461" s="13">
        <f>N461/Sheet1!$B461</f>
        <v>0.56304347826086953</v>
      </c>
      <c r="N461" s="2">
        <f t="shared" si="3"/>
        <v>259</v>
      </c>
      <c r="O461" s="2">
        <f>IF(Sheet1!$H461="ted",1,0)</f>
        <v>1</v>
      </c>
    </row>
    <row r="462" spans="1:15" ht="15.75" customHeight="1" x14ac:dyDescent="0.2">
      <c r="A462" s="11">
        <v>44727</v>
      </c>
      <c r="B462" s="12">
        <f t="shared" si="2"/>
        <v>461</v>
      </c>
      <c r="C462" s="10" t="s">
        <v>87</v>
      </c>
      <c r="D462" s="10" t="s">
        <v>59</v>
      </c>
      <c r="E462" s="10">
        <v>0</v>
      </c>
      <c r="F462" s="10" t="s">
        <v>3</v>
      </c>
      <c r="G462" s="10">
        <v>1</v>
      </c>
      <c r="H462" s="10" t="s">
        <v>8</v>
      </c>
      <c r="I462" s="10">
        <v>0</v>
      </c>
      <c r="K462" s="2">
        <v>0.5</v>
      </c>
      <c r="L462" s="13">
        <f t="shared" si="4"/>
        <v>0.66666666666666663</v>
      </c>
      <c r="M462" s="13">
        <f>N462/Sheet1!$B462</f>
        <v>0.56182212581344904</v>
      </c>
      <c r="N462" s="2">
        <f t="shared" si="3"/>
        <v>259</v>
      </c>
      <c r="O462" s="2">
        <f>IF(Sheet1!$H462="ted",1,0)</f>
        <v>1</v>
      </c>
    </row>
    <row r="463" spans="1:15" ht="15.75" customHeight="1" x14ac:dyDescent="0.2">
      <c r="A463" s="11">
        <v>44727</v>
      </c>
      <c r="B463" s="12">
        <f t="shared" si="2"/>
        <v>462</v>
      </c>
      <c r="C463" s="10" t="s">
        <v>87</v>
      </c>
      <c r="D463" s="10" t="s">
        <v>59</v>
      </c>
      <c r="E463" s="10">
        <v>0</v>
      </c>
      <c r="F463" s="10" t="s">
        <v>3</v>
      </c>
      <c r="G463" s="10">
        <v>0</v>
      </c>
      <c r="H463" s="10" t="s">
        <v>8</v>
      </c>
      <c r="I463" s="10">
        <v>0</v>
      </c>
      <c r="K463" s="2">
        <v>0.5</v>
      </c>
      <c r="L463" s="13">
        <f t="shared" si="4"/>
        <v>0.66666666666666663</v>
      </c>
      <c r="M463" s="13">
        <f>N463/Sheet1!$B463</f>
        <v>0.56060606060606055</v>
      </c>
      <c r="N463" s="2">
        <f t="shared" si="3"/>
        <v>259</v>
      </c>
      <c r="O463" s="2">
        <f>IF(Sheet1!$H463="ted",1,0)</f>
        <v>1</v>
      </c>
    </row>
    <row r="464" spans="1:15" ht="15.75" customHeight="1" x14ac:dyDescent="0.2">
      <c r="A464" s="11">
        <v>44727</v>
      </c>
      <c r="B464" s="12">
        <f t="shared" si="2"/>
        <v>463</v>
      </c>
      <c r="C464" s="10" t="s">
        <v>87</v>
      </c>
      <c r="D464" s="10" t="s">
        <v>59</v>
      </c>
      <c r="E464" s="10">
        <v>0</v>
      </c>
      <c r="F464" s="10" t="s">
        <v>3</v>
      </c>
      <c r="G464" s="10">
        <v>0</v>
      </c>
      <c r="H464" s="10" t="s">
        <v>59</v>
      </c>
      <c r="I464" s="10">
        <v>0</v>
      </c>
      <c r="K464" s="2">
        <v>0.5</v>
      </c>
      <c r="L464" s="13">
        <f t="shared" si="4"/>
        <v>0.66666666666666663</v>
      </c>
      <c r="M464" s="13">
        <f>N464/Sheet1!$B464</f>
        <v>0.55939524838012955</v>
      </c>
      <c r="N464" s="2">
        <f t="shared" si="3"/>
        <v>259</v>
      </c>
      <c r="O464" s="2">
        <f>IF(Sheet1!$H464="ted",1,0)</f>
        <v>0</v>
      </c>
    </row>
    <row r="465" spans="1:15" ht="15.75" customHeight="1" x14ac:dyDescent="0.2">
      <c r="A465" s="11">
        <v>44736</v>
      </c>
      <c r="B465" s="12">
        <f t="shared" si="2"/>
        <v>464</v>
      </c>
      <c r="C465" s="10" t="s">
        <v>53</v>
      </c>
      <c r="D465" s="10" t="s">
        <v>59</v>
      </c>
      <c r="E465" s="10">
        <v>1</v>
      </c>
      <c r="F465" s="10" t="s">
        <v>3</v>
      </c>
      <c r="G465" s="10">
        <v>1</v>
      </c>
      <c r="H465" s="10" t="s">
        <v>8</v>
      </c>
      <c r="I465" s="10">
        <v>0</v>
      </c>
      <c r="K465" s="2">
        <v>0.5</v>
      </c>
      <c r="L465" s="13">
        <f t="shared" si="4"/>
        <v>0.66666666666666663</v>
      </c>
      <c r="M465" s="13">
        <f>N465/Sheet1!$B465</f>
        <v>0.56034482758620685</v>
      </c>
      <c r="N465" s="2">
        <f t="shared" si="3"/>
        <v>260</v>
      </c>
      <c r="O465" s="2">
        <f>IF(Sheet1!$H465="ted",1,0)</f>
        <v>1</v>
      </c>
    </row>
    <row r="466" spans="1:15" ht="15.75" customHeight="1" x14ac:dyDescent="0.2">
      <c r="A466" s="11">
        <v>44736</v>
      </c>
      <c r="B466" s="12">
        <f t="shared" si="2"/>
        <v>465</v>
      </c>
      <c r="C466" s="10" t="s">
        <v>53</v>
      </c>
      <c r="D466" s="10" t="s">
        <v>59</v>
      </c>
      <c r="E466" s="10">
        <v>1</v>
      </c>
      <c r="F466" s="10" t="s">
        <v>3</v>
      </c>
      <c r="G466" s="10">
        <v>0</v>
      </c>
      <c r="H466" s="10" t="s">
        <v>8</v>
      </c>
      <c r="I466" s="10">
        <v>0</v>
      </c>
      <c r="K466" s="2">
        <v>0.5</v>
      </c>
      <c r="L466" s="13">
        <f t="shared" si="4"/>
        <v>0.66666666666666663</v>
      </c>
      <c r="M466" s="13">
        <f>N466/Sheet1!$B466</f>
        <v>0.56129032258064515</v>
      </c>
      <c r="N466" s="2">
        <f t="shared" si="3"/>
        <v>261</v>
      </c>
      <c r="O466" s="2">
        <f>IF(Sheet1!$H466="ted",1,0)</f>
        <v>1</v>
      </c>
    </row>
    <row r="467" spans="1:15" ht="15.75" customHeight="1" x14ac:dyDescent="0.2">
      <c r="A467" s="11">
        <v>44743</v>
      </c>
      <c r="B467" s="12">
        <f t="shared" si="2"/>
        <v>466</v>
      </c>
      <c r="C467" s="10" t="s">
        <v>87</v>
      </c>
      <c r="D467" s="10" t="s">
        <v>59</v>
      </c>
      <c r="E467" s="10">
        <v>1</v>
      </c>
      <c r="F467" s="10" t="s">
        <v>2</v>
      </c>
      <c r="G467" s="10">
        <v>1</v>
      </c>
      <c r="H467" s="10" t="s">
        <v>8</v>
      </c>
      <c r="I467" s="10">
        <v>6</v>
      </c>
      <c r="K467" s="2">
        <v>0.5</v>
      </c>
      <c r="L467" s="13">
        <f t="shared" si="4"/>
        <v>0.66666666666666663</v>
      </c>
      <c r="M467" s="13">
        <f>N467/Sheet1!$B467</f>
        <v>0.5622317596566524</v>
      </c>
      <c r="N467" s="2">
        <f t="shared" si="3"/>
        <v>262</v>
      </c>
      <c r="O467" s="2">
        <f>IF(Sheet1!$H467="ted",1,0)</f>
        <v>1</v>
      </c>
    </row>
    <row r="468" spans="1:15" ht="15.75" customHeight="1" x14ac:dyDescent="0.2">
      <c r="A468" s="11">
        <v>44743</v>
      </c>
      <c r="B468" s="12">
        <f t="shared" si="2"/>
        <v>467</v>
      </c>
      <c r="C468" s="10" t="s">
        <v>87</v>
      </c>
      <c r="D468" s="10" t="s">
        <v>60</v>
      </c>
      <c r="E468" s="10">
        <v>1</v>
      </c>
      <c r="F468" s="10" t="s">
        <v>3</v>
      </c>
      <c r="G468" s="10">
        <v>1</v>
      </c>
      <c r="H468" s="10" t="s">
        <v>8</v>
      </c>
      <c r="I468" s="10">
        <v>0</v>
      </c>
      <c r="K468" s="2">
        <v>0.5</v>
      </c>
      <c r="L468" s="13">
        <f t="shared" si="4"/>
        <v>0.66666666666666663</v>
      </c>
      <c r="M468" s="13">
        <f>N468/Sheet1!$B468</f>
        <v>0.56316916488222701</v>
      </c>
      <c r="N468" s="2">
        <f t="shared" si="3"/>
        <v>263</v>
      </c>
      <c r="O468" s="2">
        <f>IF(Sheet1!$H468="ted",1,0)</f>
        <v>1</v>
      </c>
    </row>
    <row r="469" spans="1:15" ht="15.75" customHeight="1" x14ac:dyDescent="0.2">
      <c r="A469" s="11">
        <v>44743</v>
      </c>
      <c r="B469" s="12">
        <f t="shared" si="2"/>
        <v>468</v>
      </c>
      <c r="C469" s="10" t="s">
        <v>87</v>
      </c>
      <c r="D469" s="10" t="s">
        <v>98</v>
      </c>
      <c r="E469" s="10">
        <v>1</v>
      </c>
      <c r="F469" s="10" t="s">
        <v>3</v>
      </c>
      <c r="G469" s="10">
        <v>4</v>
      </c>
      <c r="H469" s="10" t="s">
        <v>8</v>
      </c>
      <c r="I469" s="10">
        <v>0</v>
      </c>
      <c r="K469" s="2">
        <v>0.5</v>
      </c>
      <c r="L469" s="13">
        <f t="shared" si="4"/>
        <v>0.66666666666666663</v>
      </c>
      <c r="M469" s="13">
        <f>N469/Sheet1!$B469</f>
        <v>0.5641025641025641</v>
      </c>
      <c r="N469" s="2">
        <f t="shared" si="3"/>
        <v>264</v>
      </c>
      <c r="O469" s="2">
        <f>IF(Sheet1!$H469="ted",1,0)</f>
        <v>1</v>
      </c>
    </row>
    <row r="470" spans="1:15" ht="15.75" customHeight="1" x14ac:dyDescent="0.2">
      <c r="A470" s="11">
        <v>44743</v>
      </c>
      <c r="B470" s="12">
        <f t="shared" si="2"/>
        <v>469</v>
      </c>
      <c r="C470" s="10" t="s">
        <v>87</v>
      </c>
      <c r="D470" s="10" t="s">
        <v>57</v>
      </c>
      <c r="E470" s="10">
        <v>1</v>
      </c>
      <c r="F470" s="10" t="s">
        <v>3</v>
      </c>
      <c r="G470" s="10">
        <v>4</v>
      </c>
      <c r="H470" s="10" t="s">
        <v>8</v>
      </c>
      <c r="I470" s="10">
        <v>0</v>
      </c>
      <c r="K470" s="2">
        <v>0.5</v>
      </c>
      <c r="L470" s="13">
        <f t="shared" si="4"/>
        <v>0.66666666666666663</v>
      </c>
      <c r="M470" s="13">
        <f>N470/Sheet1!$B470</f>
        <v>0.56503198294243073</v>
      </c>
      <c r="N470" s="2">
        <f t="shared" si="3"/>
        <v>265</v>
      </c>
      <c r="O470" s="2">
        <f>IF(Sheet1!$H470="ted",1,0)</f>
        <v>1</v>
      </c>
    </row>
    <row r="471" spans="1:15" ht="15.75" customHeight="1" x14ac:dyDescent="0.2">
      <c r="A471" s="11">
        <v>44747</v>
      </c>
      <c r="B471" s="12">
        <f t="shared" si="2"/>
        <v>470</v>
      </c>
      <c r="C471" s="10" t="s">
        <v>87</v>
      </c>
      <c r="D471" s="10" t="s">
        <v>59</v>
      </c>
      <c r="E471" s="10">
        <v>1</v>
      </c>
      <c r="F471" s="10" t="s">
        <v>3</v>
      </c>
      <c r="G471" s="10">
        <v>1</v>
      </c>
      <c r="H471" s="10" t="s">
        <v>8</v>
      </c>
      <c r="I471" s="10">
        <v>0</v>
      </c>
      <c r="K471" s="2">
        <v>0.5</v>
      </c>
      <c r="L471" s="13">
        <f t="shared" si="4"/>
        <v>0.77777777777777779</v>
      </c>
      <c r="M471" s="13">
        <f>N471/Sheet1!$B471</f>
        <v>0.56595744680851068</v>
      </c>
      <c r="N471" s="2">
        <f t="shared" si="3"/>
        <v>266</v>
      </c>
      <c r="O471" s="2">
        <f>IF(Sheet1!$H471="ted",1,0)</f>
        <v>1</v>
      </c>
    </row>
    <row r="472" spans="1:15" ht="15.75" customHeight="1" x14ac:dyDescent="0.2">
      <c r="A472" s="11">
        <v>44747</v>
      </c>
      <c r="B472" s="12">
        <f t="shared" si="2"/>
        <v>471</v>
      </c>
      <c r="C472" s="10" t="s">
        <v>87</v>
      </c>
      <c r="D472" s="10" t="s">
        <v>59</v>
      </c>
      <c r="E472" s="10">
        <v>1</v>
      </c>
      <c r="F472" s="10" t="s">
        <v>3</v>
      </c>
      <c r="G472" s="10">
        <v>2</v>
      </c>
      <c r="H472" s="10" t="s">
        <v>8</v>
      </c>
      <c r="I472" s="10">
        <v>0</v>
      </c>
      <c r="K472" s="2">
        <v>0.5</v>
      </c>
      <c r="L472" s="13">
        <f t="shared" si="4"/>
        <v>0.88888888888888884</v>
      </c>
      <c r="M472" s="13">
        <f>N472/Sheet1!$B472</f>
        <v>0.56687898089171973</v>
      </c>
      <c r="N472" s="2">
        <f t="shared" si="3"/>
        <v>267</v>
      </c>
      <c r="O472" s="2">
        <f>IF(Sheet1!$H472="ted",1,0)</f>
        <v>1</v>
      </c>
    </row>
    <row r="473" spans="1:15" ht="15.75" customHeight="1" x14ac:dyDescent="0.2">
      <c r="A473" s="11">
        <v>44747</v>
      </c>
      <c r="B473" s="12">
        <f t="shared" si="2"/>
        <v>472</v>
      </c>
      <c r="C473" s="10" t="s">
        <v>87</v>
      </c>
      <c r="D473" s="10" t="s">
        <v>59</v>
      </c>
      <c r="E473" s="10">
        <v>0</v>
      </c>
      <c r="F473" s="10" t="s">
        <v>3</v>
      </c>
      <c r="G473" s="10">
        <v>0</v>
      </c>
      <c r="H473" s="10" t="s">
        <v>8</v>
      </c>
      <c r="I473" s="10">
        <v>0</v>
      </c>
      <c r="K473" s="2">
        <v>0.5</v>
      </c>
      <c r="L473" s="13">
        <f t="shared" si="4"/>
        <v>0.88888888888888884</v>
      </c>
      <c r="M473" s="13">
        <f>N473/Sheet1!$B473</f>
        <v>0.56567796610169496</v>
      </c>
      <c r="N473" s="2">
        <f t="shared" si="3"/>
        <v>267</v>
      </c>
      <c r="O473" s="2">
        <f>IF(Sheet1!$H473="ted",1,0)</f>
        <v>1</v>
      </c>
    </row>
    <row r="474" spans="1:15" ht="15.75" customHeight="1" x14ac:dyDescent="0.2">
      <c r="A474" s="11">
        <v>44747</v>
      </c>
      <c r="B474" s="12">
        <f t="shared" si="2"/>
        <v>473</v>
      </c>
      <c r="C474" s="10" t="s">
        <v>87</v>
      </c>
      <c r="D474" s="10" t="s">
        <v>59</v>
      </c>
      <c r="E474" s="10">
        <v>0</v>
      </c>
      <c r="F474" s="10" t="s">
        <v>3</v>
      </c>
      <c r="G474" s="10">
        <v>1</v>
      </c>
      <c r="H474" s="10" t="s">
        <v>59</v>
      </c>
      <c r="I474" s="10">
        <v>0</v>
      </c>
      <c r="K474" s="2">
        <v>0.5</v>
      </c>
      <c r="L474" s="13">
        <f t="shared" si="4"/>
        <v>0.77777777777777779</v>
      </c>
      <c r="M474" s="13">
        <f>N474/Sheet1!$B474</f>
        <v>0.56448202959830862</v>
      </c>
      <c r="N474" s="2">
        <f t="shared" si="3"/>
        <v>267</v>
      </c>
      <c r="O474" s="2">
        <f>IF(Sheet1!$H474="ted",1,0)</f>
        <v>0</v>
      </c>
    </row>
    <row r="475" spans="1:15" ht="15.75" customHeight="1" x14ac:dyDescent="0.2">
      <c r="A475" s="11">
        <v>44766</v>
      </c>
      <c r="B475" s="12">
        <f t="shared" si="2"/>
        <v>474</v>
      </c>
      <c r="C475" s="10" t="s">
        <v>87</v>
      </c>
      <c r="D475" s="10" t="s">
        <v>59</v>
      </c>
      <c r="E475" s="10">
        <v>0</v>
      </c>
      <c r="F475" s="10" t="s">
        <v>3</v>
      </c>
      <c r="G475" s="10">
        <v>1</v>
      </c>
      <c r="H475" s="10" t="s">
        <v>59</v>
      </c>
      <c r="I475" s="10">
        <v>0</v>
      </c>
      <c r="K475" s="2">
        <v>0.5</v>
      </c>
      <c r="L475" s="13">
        <f t="shared" si="4"/>
        <v>0.66666666666666663</v>
      </c>
      <c r="M475" s="13">
        <f>N475/Sheet1!$B475</f>
        <v>0.56329113924050633</v>
      </c>
      <c r="N475" s="2">
        <f t="shared" si="3"/>
        <v>267</v>
      </c>
      <c r="O475" s="2">
        <f>IF(Sheet1!$H475="ted",1,0)</f>
        <v>0</v>
      </c>
    </row>
    <row r="476" spans="1:15" ht="15.75" customHeight="1" x14ac:dyDescent="0.2">
      <c r="A476" s="11">
        <v>44775</v>
      </c>
      <c r="B476" s="12">
        <f t="shared" si="2"/>
        <v>475</v>
      </c>
      <c r="C476" s="10" t="s">
        <v>99</v>
      </c>
      <c r="D476" s="10" t="s">
        <v>100</v>
      </c>
      <c r="E476" s="10">
        <v>1</v>
      </c>
      <c r="F476" s="10" t="s">
        <v>3</v>
      </c>
      <c r="G476" s="10">
        <v>1</v>
      </c>
      <c r="H476" s="10" t="s">
        <v>101</v>
      </c>
      <c r="I476" s="10">
        <v>0</v>
      </c>
      <c r="K476" s="2">
        <v>0.5</v>
      </c>
      <c r="L476" s="13">
        <f t="shared" si="4"/>
        <v>0.66666666666666663</v>
      </c>
      <c r="M476" s="13">
        <f>N476/Sheet1!$B476</f>
        <v>0.5642105263157895</v>
      </c>
      <c r="N476" s="2">
        <f t="shared" si="3"/>
        <v>268</v>
      </c>
      <c r="O476" s="2">
        <f>IF(Sheet1!$H476="ted",1,0)</f>
        <v>0</v>
      </c>
    </row>
    <row r="477" spans="1:15" ht="15.75" customHeight="1" x14ac:dyDescent="0.2">
      <c r="A477" s="11">
        <v>44860</v>
      </c>
      <c r="B477" s="12">
        <f t="shared" si="2"/>
        <v>476</v>
      </c>
      <c r="C477" s="10" t="s">
        <v>87</v>
      </c>
      <c r="D477" s="10" t="s">
        <v>59</v>
      </c>
      <c r="E477" s="10">
        <v>0</v>
      </c>
      <c r="F477" s="10" t="s">
        <v>3</v>
      </c>
      <c r="G477" s="10">
        <v>3</v>
      </c>
      <c r="H477" s="10" t="s">
        <v>8</v>
      </c>
      <c r="I477" s="10">
        <v>0</v>
      </c>
      <c r="K477" s="2">
        <v>0.5</v>
      </c>
      <c r="L477" s="13">
        <f t="shared" si="4"/>
        <v>0.55555555555555558</v>
      </c>
      <c r="M477" s="13">
        <f>N477/Sheet1!$B477</f>
        <v>0.56302521008403361</v>
      </c>
      <c r="N477" s="2">
        <f t="shared" si="3"/>
        <v>268</v>
      </c>
      <c r="O477" s="2">
        <f>IF(Sheet1!$H477="ted",1,0)</f>
        <v>1</v>
      </c>
    </row>
    <row r="478" spans="1:15" ht="15.75" customHeight="1" x14ac:dyDescent="0.2">
      <c r="A478" s="11">
        <v>44860</v>
      </c>
      <c r="B478" s="12">
        <f t="shared" si="2"/>
        <v>477</v>
      </c>
      <c r="C478" s="10" t="s">
        <v>87</v>
      </c>
      <c r="D478" s="10" t="s">
        <v>59</v>
      </c>
      <c r="E478" s="10">
        <v>0</v>
      </c>
      <c r="F478" s="10" t="s">
        <v>3</v>
      </c>
      <c r="G478" s="10">
        <v>1</v>
      </c>
      <c r="H478" s="10" t="s">
        <v>59</v>
      </c>
      <c r="I478" s="10">
        <v>0</v>
      </c>
      <c r="K478" s="2">
        <v>0.5</v>
      </c>
      <c r="L478" s="13">
        <f t="shared" si="4"/>
        <v>0.44444444444444442</v>
      </c>
      <c r="M478" s="13">
        <f>N478/Sheet1!$B478</f>
        <v>0.56184486373165621</v>
      </c>
      <c r="N478" s="2">
        <f t="shared" si="3"/>
        <v>268</v>
      </c>
      <c r="O478" s="2">
        <f>IF(Sheet1!$H478="ted",1,0)</f>
        <v>0</v>
      </c>
    </row>
    <row r="479" spans="1:15" ht="15.75" customHeight="1" x14ac:dyDescent="0.2">
      <c r="A479" s="11">
        <v>44860</v>
      </c>
      <c r="B479" s="12">
        <f t="shared" si="2"/>
        <v>478</v>
      </c>
      <c r="C479" s="10" t="s">
        <v>87</v>
      </c>
      <c r="D479" s="10" t="s">
        <v>59</v>
      </c>
      <c r="E479" s="10">
        <v>1</v>
      </c>
      <c r="F479" s="10" t="s">
        <v>3</v>
      </c>
      <c r="G479" s="10">
        <v>1</v>
      </c>
      <c r="H479" s="10" t="s">
        <v>59</v>
      </c>
      <c r="I479" s="10">
        <v>0</v>
      </c>
      <c r="K479" s="2">
        <v>0.5</v>
      </c>
      <c r="L479" s="13">
        <f t="shared" si="4"/>
        <v>0.44444444444444442</v>
      </c>
      <c r="M479" s="13">
        <f>N479/Sheet1!$B479</f>
        <v>0.56276150627615062</v>
      </c>
      <c r="N479" s="2">
        <f t="shared" si="3"/>
        <v>269</v>
      </c>
      <c r="O479" s="2">
        <f>IF(Sheet1!$H479="ted",1,0)</f>
        <v>0</v>
      </c>
    </row>
    <row r="480" spans="1:15" ht="15.75" customHeight="1" x14ac:dyDescent="0.2">
      <c r="A480" s="11">
        <v>44860</v>
      </c>
      <c r="B480" s="12">
        <f t="shared" si="2"/>
        <v>479</v>
      </c>
      <c r="C480" s="10" t="s">
        <v>87</v>
      </c>
      <c r="D480" s="10" t="s">
        <v>57</v>
      </c>
      <c r="E480" s="10">
        <v>1</v>
      </c>
      <c r="F480" s="10" t="s">
        <v>3</v>
      </c>
      <c r="G480" s="10">
        <v>1</v>
      </c>
      <c r="H480" s="10" t="s">
        <v>8</v>
      </c>
      <c r="I480" s="10">
        <v>0</v>
      </c>
      <c r="K480" s="2">
        <v>0.5</v>
      </c>
      <c r="L480" s="13">
        <f t="shared" si="4"/>
        <v>0.44444444444444442</v>
      </c>
      <c r="M480" s="13">
        <f>N480/Sheet1!$B480</f>
        <v>0.56367432150313157</v>
      </c>
      <c r="N480" s="2">
        <f t="shared" si="3"/>
        <v>270</v>
      </c>
      <c r="O480" s="2">
        <f>IF(Sheet1!$H480="ted",1,0)</f>
        <v>1</v>
      </c>
    </row>
    <row r="481" spans="1:15" ht="15.75" customHeight="1" x14ac:dyDescent="0.2">
      <c r="A481" s="11">
        <v>44873</v>
      </c>
      <c r="B481" s="12">
        <f t="shared" si="2"/>
        <v>480</v>
      </c>
      <c r="C481" s="10" t="s">
        <v>102</v>
      </c>
      <c r="D481" s="10" t="s">
        <v>59</v>
      </c>
      <c r="E481" s="10">
        <v>0</v>
      </c>
      <c r="F481" s="10" t="s">
        <v>3</v>
      </c>
      <c r="G481" s="10">
        <v>1</v>
      </c>
      <c r="H481" s="10" t="s">
        <v>8</v>
      </c>
      <c r="I481" s="10">
        <v>0</v>
      </c>
      <c r="K481" s="2">
        <v>0.5</v>
      </c>
      <c r="L481" s="13">
        <f t="shared" si="4"/>
        <v>0.33333333333333331</v>
      </c>
      <c r="M481" s="13">
        <f>N481/Sheet1!$B481</f>
        <v>0.5625</v>
      </c>
      <c r="N481" s="2">
        <f t="shared" si="3"/>
        <v>270</v>
      </c>
      <c r="O481" s="2">
        <f>IF(Sheet1!$H481="ted",1,0)</f>
        <v>1</v>
      </c>
    </row>
    <row r="482" spans="1:15" ht="15.75" customHeight="1" x14ac:dyDescent="0.2">
      <c r="A482" s="11">
        <v>44873</v>
      </c>
      <c r="B482" s="12">
        <f t="shared" si="2"/>
        <v>481</v>
      </c>
      <c r="C482" s="10" t="s">
        <v>102</v>
      </c>
      <c r="D482" s="10" t="s">
        <v>59</v>
      </c>
      <c r="E482" s="10">
        <v>1</v>
      </c>
      <c r="F482" s="10" t="s">
        <v>3</v>
      </c>
      <c r="G482" s="10">
        <v>1</v>
      </c>
      <c r="H482" s="10" t="s">
        <v>59</v>
      </c>
      <c r="I482" s="10">
        <v>0</v>
      </c>
      <c r="K482" s="2">
        <v>0.5</v>
      </c>
      <c r="L482" s="13">
        <f t="shared" si="4"/>
        <v>0.44444444444444442</v>
      </c>
      <c r="M482" s="13">
        <f>N482/Sheet1!$B482</f>
        <v>0.56340956340956339</v>
      </c>
      <c r="N482" s="2">
        <f t="shared" si="3"/>
        <v>271</v>
      </c>
      <c r="O482" s="2">
        <f>IF(Sheet1!$H482="ted",1,0)</f>
        <v>0</v>
      </c>
    </row>
    <row r="483" spans="1:15" ht="15.75" customHeight="1" x14ac:dyDescent="0.2">
      <c r="A483" s="11">
        <v>44873</v>
      </c>
      <c r="B483" s="12">
        <f t="shared" si="2"/>
        <v>482</v>
      </c>
      <c r="C483" s="10" t="s">
        <v>102</v>
      </c>
      <c r="D483" s="10" t="s">
        <v>59</v>
      </c>
      <c r="E483" s="10">
        <v>1</v>
      </c>
      <c r="F483" s="10" t="s">
        <v>3</v>
      </c>
      <c r="G483" s="10">
        <v>2</v>
      </c>
      <c r="H483" s="10" t="s">
        <v>8</v>
      </c>
      <c r="I483" s="10">
        <v>0</v>
      </c>
      <c r="K483" s="2">
        <v>0.5</v>
      </c>
      <c r="L483" s="13">
        <f t="shared" si="4"/>
        <v>0.55555555555555558</v>
      </c>
      <c r="M483" s="13">
        <f>N483/Sheet1!$B483</f>
        <v>0.56431535269709543</v>
      </c>
      <c r="N483" s="2">
        <f t="shared" si="3"/>
        <v>272</v>
      </c>
      <c r="O483" s="2">
        <f>IF(Sheet1!$H483="ted",1,0)</f>
        <v>1</v>
      </c>
    </row>
    <row r="484" spans="1:15" ht="15.75" customHeight="1" x14ac:dyDescent="0.2">
      <c r="A484" s="11">
        <v>44873</v>
      </c>
      <c r="B484" s="12">
        <f t="shared" si="2"/>
        <v>483</v>
      </c>
      <c r="C484" s="10" t="s">
        <v>102</v>
      </c>
      <c r="D484" s="10" t="s">
        <v>59</v>
      </c>
      <c r="E484" s="10">
        <v>0</v>
      </c>
      <c r="F484" s="10" t="s">
        <v>3</v>
      </c>
      <c r="G484" s="10">
        <v>1</v>
      </c>
      <c r="H484" s="10" t="s">
        <v>59</v>
      </c>
      <c r="I484" s="10">
        <v>0</v>
      </c>
      <c r="K484" s="2">
        <v>0.5</v>
      </c>
      <c r="L484" s="13">
        <f t="shared" si="4"/>
        <v>0.55555555555555558</v>
      </c>
      <c r="M484" s="13">
        <f>N484/Sheet1!$B484</f>
        <v>0.56314699792960665</v>
      </c>
      <c r="N484" s="2">
        <f t="shared" si="3"/>
        <v>272</v>
      </c>
      <c r="O484" s="2">
        <f>IF(Sheet1!$H484="ted",1,0)</f>
        <v>0</v>
      </c>
    </row>
    <row r="485" spans="1:15" ht="15.75" customHeight="1" x14ac:dyDescent="0.2">
      <c r="A485" s="11">
        <v>44873</v>
      </c>
      <c r="B485" s="12">
        <f t="shared" si="2"/>
        <v>484</v>
      </c>
      <c r="C485" s="10" t="s">
        <v>102</v>
      </c>
      <c r="D485" s="10" t="s">
        <v>59</v>
      </c>
      <c r="E485" s="10">
        <v>0</v>
      </c>
      <c r="F485" s="10" t="s">
        <v>3</v>
      </c>
      <c r="G485" s="10">
        <v>0</v>
      </c>
      <c r="H485" s="10" t="s">
        <v>59</v>
      </c>
      <c r="I485" s="10">
        <v>0</v>
      </c>
      <c r="K485" s="2">
        <v>0.5</v>
      </c>
      <c r="L485" s="13">
        <f t="shared" si="4"/>
        <v>0.44444444444444442</v>
      </c>
      <c r="M485" s="13">
        <f>N485/Sheet1!$B485</f>
        <v>0.56198347107438018</v>
      </c>
      <c r="N485" s="2">
        <f t="shared" si="3"/>
        <v>272</v>
      </c>
      <c r="O485" s="2">
        <f>IF(Sheet1!$H485="ted",1,0)</f>
        <v>0</v>
      </c>
    </row>
    <row r="486" spans="1:15" ht="15.75" customHeight="1" x14ac:dyDescent="0.2">
      <c r="A486" s="11">
        <v>44873</v>
      </c>
      <c r="B486" s="12">
        <f t="shared" si="2"/>
        <v>485</v>
      </c>
      <c r="C486" s="10" t="s">
        <v>102</v>
      </c>
      <c r="D486" s="10" t="s">
        <v>59</v>
      </c>
      <c r="E486" s="10">
        <v>0</v>
      </c>
      <c r="F486" s="10" t="s">
        <v>3</v>
      </c>
      <c r="G486" s="10">
        <v>5</v>
      </c>
      <c r="H486" s="10" t="s">
        <v>8</v>
      </c>
      <c r="I486" s="10">
        <v>0</v>
      </c>
      <c r="K486" s="2">
        <v>0.5</v>
      </c>
      <c r="L486" s="13">
        <f t="shared" si="4"/>
        <v>0.44444444444444442</v>
      </c>
      <c r="M486" s="13">
        <f>N486/Sheet1!$B486</f>
        <v>0.56082474226804124</v>
      </c>
      <c r="N486" s="2">
        <f t="shared" si="3"/>
        <v>272</v>
      </c>
      <c r="O486" s="2">
        <f>IF(Sheet1!$H486="ted",1,0)</f>
        <v>1</v>
      </c>
    </row>
    <row r="487" spans="1:15" ht="15.75" customHeight="1" x14ac:dyDescent="0.2">
      <c r="A487" s="11">
        <v>44873</v>
      </c>
      <c r="B487" s="12">
        <f t="shared" si="2"/>
        <v>486</v>
      </c>
      <c r="C487" s="10" t="s">
        <v>102</v>
      </c>
      <c r="D487" s="10" t="s">
        <v>59</v>
      </c>
      <c r="E487" s="10">
        <v>0</v>
      </c>
      <c r="F487" s="10" t="s">
        <v>3</v>
      </c>
      <c r="G487" s="10">
        <v>1</v>
      </c>
      <c r="H487" s="10" t="s">
        <v>59</v>
      </c>
      <c r="I487" s="10">
        <v>0</v>
      </c>
      <c r="K487" s="2">
        <v>0.5</v>
      </c>
      <c r="L487" s="13">
        <f t="shared" si="4"/>
        <v>0.44444444444444442</v>
      </c>
      <c r="M487" s="13">
        <f>N487/Sheet1!$B487</f>
        <v>0.55967078189300412</v>
      </c>
      <c r="N487" s="2">
        <f t="shared" si="3"/>
        <v>272</v>
      </c>
      <c r="O487" s="2">
        <f>IF(Sheet1!$H487="ted",1,0)</f>
        <v>0</v>
      </c>
    </row>
    <row r="488" spans="1:15" ht="15.75" customHeight="1" x14ac:dyDescent="0.2">
      <c r="A488" s="11">
        <v>44873</v>
      </c>
      <c r="B488" s="12">
        <f t="shared" si="2"/>
        <v>487</v>
      </c>
      <c r="C488" s="10" t="s">
        <v>102</v>
      </c>
      <c r="D488" s="10" t="s">
        <v>59</v>
      </c>
      <c r="E488" s="10">
        <v>0</v>
      </c>
      <c r="F488" s="10" t="s">
        <v>3</v>
      </c>
      <c r="G488" s="10">
        <v>2</v>
      </c>
      <c r="H488" s="10" t="s">
        <v>8</v>
      </c>
      <c r="I488" s="10">
        <v>0</v>
      </c>
      <c r="K488" s="2">
        <v>0.5</v>
      </c>
      <c r="L488" s="13">
        <f t="shared" si="4"/>
        <v>0.33333333333333331</v>
      </c>
      <c r="M488" s="13">
        <f>N488/Sheet1!$B488</f>
        <v>0.55852156057494862</v>
      </c>
      <c r="N488" s="2">
        <f t="shared" si="3"/>
        <v>272</v>
      </c>
      <c r="O488" s="2">
        <f>IF(Sheet1!$H488="ted",1,0)</f>
        <v>1</v>
      </c>
    </row>
    <row r="489" spans="1:15" ht="15.75" customHeight="1" x14ac:dyDescent="0.2">
      <c r="A489" s="11">
        <v>44873</v>
      </c>
      <c r="B489" s="12">
        <f t="shared" si="2"/>
        <v>488</v>
      </c>
      <c r="C489" s="10" t="s">
        <v>102</v>
      </c>
      <c r="D489" s="10" t="s">
        <v>59</v>
      </c>
      <c r="E489" s="10">
        <v>0</v>
      </c>
      <c r="F489" s="10" t="s">
        <v>3</v>
      </c>
      <c r="G489" s="10">
        <v>3</v>
      </c>
      <c r="H489" s="10" t="s">
        <v>59</v>
      </c>
      <c r="I489" s="10">
        <v>0</v>
      </c>
      <c r="K489" s="2">
        <v>0.5</v>
      </c>
      <c r="L489" s="13">
        <f t="shared" si="4"/>
        <v>0.22222222222222221</v>
      </c>
      <c r="M489" s="13">
        <f>N489/Sheet1!$B489</f>
        <v>0.55737704918032782</v>
      </c>
      <c r="N489" s="2">
        <f t="shared" si="3"/>
        <v>272</v>
      </c>
      <c r="O489" s="2">
        <f>IF(Sheet1!$H489="ted",1,0)</f>
        <v>0</v>
      </c>
    </row>
    <row r="490" spans="1:15" ht="15.75" customHeight="1" x14ac:dyDescent="0.2">
      <c r="A490" s="11">
        <v>44873</v>
      </c>
      <c r="B490" s="12">
        <f t="shared" si="2"/>
        <v>489</v>
      </c>
      <c r="C490" s="10" t="s">
        <v>102</v>
      </c>
      <c r="D490" s="10" t="s">
        <v>59</v>
      </c>
      <c r="E490" s="10">
        <v>0</v>
      </c>
      <c r="F490" s="10" t="s">
        <v>3</v>
      </c>
      <c r="G490" s="10">
        <v>1</v>
      </c>
      <c r="H490" s="10" t="s">
        <v>8</v>
      </c>
      <c r="I490" s="10">
        <v>0</v>
      </c>
      <c r="K490" s="2">
        <v>0.5</v>
      </c>
      <c r="L490" s="13">
        <f t="shared" si="4"/>
        <v>0.22222222222222221</v>
      </c>
      <c r="M490" s="13">
        <f>N490/Sheet1!$B490</f>
        <v>0.55623721881390598</v>
      </c>
      <c r="N490" s="2">
        <f t="shared" si="3"/>
        <v>272</v>
      </c>
      <c r="O490" s="2">
        <f>IF(Sheet1!$H490="ted",1,0)</f>
        <v>1</v>
      </c>
    </row>
    <row r="491" spans="1:15" ht="15.75" customHeight="1" x14ac:dyDescent="0.2">
      <c r="A491" s="11">
        <v>44873</v>
      </c>
      <c r="B491" s="12">
        <f t="shared" si="2"/>
        <v>490</v>
      </c>
      <c r="C491" s="10" t="s">
        <v>102</v>
      </c>
      <c r="D491" s="10" t="s">
        <v>59</v>
      </c>
      <c r="E491" s="10">
        <v>1</v>
      </c>
      <c r="F491" s="10" t="s">
        <v>3</v>
      </c>
      <c r="G491" s="10">
        <v>2</v>
      </c>
      <c r="H491" s="10" t="s">
        <v>59</v>
      </c>
      <c r="I491" s="10">
        <v>0</v>
      </c>
      <c r="K491" s="2">
        <v>0.5</v>
      </c>
      <c r="L491" s="13">
        <f t="shared" si="4"/>
        <v>0.22222222222222221</v>
      </c>
      <c r="M491" s="13">
        <f>N491/Sheet1!$B491</f>
        <v>0.55714285714285716</v>
      </c>
      <c r="N491" s="2">
        <f t="shared" si="3"/>
        <v>273</v>
      </c>
      <c r="O491" s="2">
        <f>IF(Sheet1!$H491="ted",1,0)</f>
        <v>0</v>
      </c>
    </row>
    <row r="492" spans="1:15" ht="15.75" customHeight="1" x14ac:dyDescent="0.2">
      <c r="A492" s="11">
        <v>44873</v>
      </c>
      <c r="B492" s="12">
        <f t="shared" si="2"/>
        <v>491</v>
      </c>
      <c r="C492" s="10" t="s">
        <v>102</v>
      </c>
      <c r="D492" s="10" t="s">
        <v>59</v>
      </c>
      <c r="E492" s="10">
        <v>1</v>
      </c>
      <c r="F492" s="10" t="s">
        <v>3</v>
      </c>
      <c r="G492" s="10">
        <v>3</v>
      </c>
      <c r="H492" s="10" t="s">
        <v>8</v>
      </c>
      <c r="I492" s="10">
        <v>0</v>
      </c>
      <c r="K492" s="2">
        <v>0.5</v>
      </c>
      <c r="L492" s="13">
        <f t="shared" si="4"/>
        <v>0.22222222222222221</v>
      </c>
      <c r="M492" s="13">
        <f>N492/Sheet1!$B492</f>
        <v>0.55804480651731159</v>
      </c>
      <c r="N492" s="2">
        <f t="shared" si="3"/>
        <v>274</v>
      </c>
      <c r="O492" s="2">
        <f>IF(Sheet1!$H492="ted",1,0)</f>
        <v>1</v>
      </c>
    </row>
    <row r="493" spans="1:15" ht="15.75" customHeight="1" x14ac:dyDescent="0.2">
      <c r="A493" s="11">
        <v>44889</v>
      </c>
      <c r="B493" s="12">
        <f t="shared" si="2"/>
        <v>492</v>
      </c>
      <c r="C493" s="10" t="s">
        <v>103</v>
      </c>
      <c r="D493" s="10" t="s">
        <v>104</v>
      </c>
      <c r="E493" s="10">
        <v>1</v>
      </c>
      <c r="F493" s="10" t="s">
        <v>3</v>
      </c>
      <c r="G493" s="10">
        <v>3</v>
      </c>
      <c r="H493" s="10" t="s">
        <v>8</v>
      </c>
      <c r="I493" s="10">
        <v>0</v>
      </c>
      <c r="K493" s="2">
        <v>0.5</v>
      </c>
      <c r="L493" s="13">
        <f t="shared" si="4"/>
        <v>0.33333333333333331</v>
      </c>
      <c r="M493" s="13">
        <f>N493/Sheet1!$B493</f>
        <v>0.55894308943089432</v>
      </c>
      <c r="N493" s="2">
        <f t="shared" si="3"/>
        <v>275</v>
      </c>
      <c r="O493" s="2">
        <f>IF(Sheet1!$H493="ted",1,0)</f>
        <v>1</v>
      </c>
    </row>
    <row r="494" spans="1:15" ht="15.75" customHeight="1" x14ac:dyDescent="0.2">
      <c r="A494" s="11">
        <v>44889</v>
      </c>
      <c r="B494" s="12">
        <f t="shared" si="2"/>
        <v>493</v>
      </c>
      <c r="C494" s="10" t="s">
        <v>103</v>
      </c>
      <c r="D494" s="10" t="s">
        <v>105</v>
      </c>
      <c r="E494" s="10">
        <v>1</v>
      </c>
      <c r="F494" s="10" t="s">
        <v>3</v>
      </c>
      <c r="G494" s="10">
        <v>3</v>
      </c>
      <c r="H494" s="10" t="s">
        <v>8</v>
      </c>
      <c r="I494" s="10">
        <v>0</v>
      </c>
      <c r="K494" s="2">
        <v>0.5</v>
      </c>
      <c r="L494" s="13">
        <f t="shared" si="4"/>
        <v>0.44444444444444442</v>
      </c>
      <c r="M494" s="13">
        <f>N494/Sheet1!$B494</f>
        <v>0.55983772819472621</v>
      </c>
      <c r="N494" s="2">
        <f t="shared" si="3"/>
        <v>276</v>
      </c>
      <c r="O494" s="2">
        <f>IF(Sheet1!$H494="ted",1,0)</f>
        <v>1</v>
      </c>
    </row>
    <row r="495" spans="1:15" ht="15.75" customHeight="1" x14ac:dyDescent="0.2">
      <c r="A495" s="11">
        <v>44889</v>
      </c>
      <c r="B495" s="12">
        <f t="shared" si="2"/>
        <v>494</v>
      </c>
      <c r="C495" s="10" t="s">
        <v>103</v>
      </c>
      <c r="D495" s="10" t="s">
        <v>105</v>
      </c>
      <c r="E495" s="10">
        <v>0</v>
      </c>
      <c r="F495" s="10" t="s">
        <v>4</v>
      </c>
      <c r="G495" s="10">
        <v>0</v>
      </c>
      <c r="H495" s="10" t="s">
        <v>8</v>
      </c>
      <c r="I495" s="10">
        <v>2</v>
      </c>
      <c r="K495" s="2">
        <v>0.5</v>
      </c>
      <c r="L495" s="13">
        <f t="shared" si="4"/>
        <v>0.44444444444444442</v>
      </c>
      <c r="M495" s="13">
        <f>N495/Sheet1!$B495</f>
        <v>0.5587044534412956</v>
      </c>
      <c r="N495" s="2">
        <f t="shared" si="3"/>
        <v>276</v>
      </c>
      <c r="O495" s="2">
        <f>IF(Sheet1!$H495="ted",1,0)</f>
        <v>1</v>
      </c>
    </row>
    <row r="496" spans="1:15" ht="15.75" customHeight="1" x14ac:dyDescent="0.2">
      <c r="A496" s="11">
        <v>44889</v>
      </c>
      <c r="B496" s="12">
        <f t="shared" ref="B496:B591" si="5">B495+1</f>
        <v>495</v>
      </c>
      <c r="C496" s="10" t="s">
        <v>103</v>
      </c>
      <c r="D496" s="10" t="s">
        <v>105</v>
      </c>
      <c r="E496" s="10">
        <v>0</v>
      </c>
      <c r="F496" s="10" t="s">
        <v>3</v>
      </c>
      <c r="G496" s="10">
        <v>0</v>
      </c>
      <c r="H496" s="10" t="s">
        <v>105</v>
      </c>
      <c r="I496" s="10">
        <v>0</v>
      </c>
      <c r="K496" s="2">
        <v>0.5</v>
      </c>
      <c r="L496" s="13">
        <f t="shared" si="4"/>
        <v>0.44444444444444442</v>
      </c>
      <c r="M496" s="13">
        <f>N496/Sheet1!$B496</f>
        <v>0.55757575757575761</v>
      </c>
      <c r="N496" s="2">
        <f t="shared" si="3"/>
        <v>276</v>
      </c>
      <c r="O496" s="2">
        <f>IF(Sheet1!$H496="ted",1,0)</f>
        <v>0</v>
      </c>
    </row>
    <row r="497" spans="1:15" ht="15.75" customHeight="1" x14ac:dyDescent="0.2">
      <c r="A497" s="11">
        <v>44889</v>
      </c>
      <c r="B497" s="12">
        <f t="shared" si="5"/>
        <v>496</v>
      </c>
      <c r="C497" s="10" t="s">
        <v>103</v>
      </c>
      <c r="D497" s="10" t="s">
        <v>106</v>
      </c>
      <c r="E497" s="10">
        <v>0</v>
      </c>
      <c r="F497" s="10" t="s">
        <v>3</v>
      </c>
      <c r="G497" s="10">
        <v>0</v>
      </c>
      <c r="H497" s="10" t="s">
        <v>8</v>
      </c>
      <c r="I497" s="10">
        <v>0</v>
      </c>
      <c r="K497" s="2">
        <v>0.5</v>
      </c>
      <c r="L497" s="13">
        <f t="shared" si="4"/>
        <v>0.44444444444444442</v>
      </c>
      <c r="M497" s="13">
        <f>N497/Sheet1!$B497</f>
        <v>0.55645161290322576</v>
      </c>
      <c r="N497" s="2">
        <f t="shared" si="3"/>
        <v>276</v>
      </c>
      <c r="O497" s="2">
        <f>IF(Sheet1!$H497="ted",1,0)</f>
        <v>1</v>
      </c>
    </row>
    <row r="498" spans="1:15" ht="15.75" customHeight="1" x14ac:dyDescent="0.2">
      <c r="A498" s="11">
        <v>44889</v>
      </c>
      <c r="B498" s="12">
        <f t="shared" si="5"/>
        <v>497</v>
      </c>
      <c r="C498" s="10" t="s">
        <v>103</v>
      </c>
      <c r="D498" s="10" t="s">
        <v>106</v>
      </c>
      <c r="E498" s="10">
        <v>1</v>
      </c>
      <c r="F498" s="10" t="s">
        <v>3</v>
      </c>
      <c r="G498" s="10">
        <v>0</v>
      </c>
      <c r="H498" s="10" t="s">
        <v>106</v>
      </c>
      <c r="I498" s="10">
        <v>0</v>
      </c>
      <c r="K498" s="2">
        <v>0.5</v>
      </c>
      <c r="L498" s="13">
        <f t="shared" si="4"/>
        <v>0.55555555555555558</v>
      </c>
      <c r="M498" s="13">
        <f>N498/Sheet1!$B498</f>
        <v>0.55734406438631789</v>
      </c>
      <c r="N498" s="2">
        <f t="shared" si="3"/>
        <v>277</v>
      </c>
      <c r="O498" s="2">
        <f>IF(Sheet1!$H498="ted",1,0)</f>
        <v>0</v>
      </c>
    </row>
    <row r="499" spans="1:15" ht="15.75" customHeight="1" x14ac:dyDescent="0.2">
      <c r="A499" s="11">
        <v>44889</v>
      </c>
      <c r="B499" s="12">
        <f t="shared" si="5"/>
        <v>498</v>
      </c>
      <c r="C499" s="10" t="s">
        <v>87</v>
      </c>
      <c r="D499" s="10" t="s">
        <v>57</v>
      </c>
      <c r="E499" s="10">
        <v>0</v>
      </c>
      <c r="F499" s="10" t="s">
        <v>3</v>
      </c>
      <c r="G499" s="10">
        <v>4</v>
      </c>
      <c r="H499" s="10" t="s">
        <v>57</v>
      </c>
      <c r="I499" s="10">
        <v>0</v>
      </c>
      <c r="K499" s="2">
        <v>0.5</v>
      </c>
      <c r="L499" s="13">
        <f t="shared" si="4"/>
        <v>0.55555555555555558</v>
      </c>
      <c r="M499" s="13">
        <f>N499/Sheet1!$B499</f>
        <v>0.55622489959839361</v>
      </c>
      <c r="N499" s="2">
        <f t="shared" si="3"/>
        <v>277</v>
      </c>
      <c r="O499" s="2">
        <f>IF(Sheet1!$H499="ted",1,0)</f>
        <v>0</v>
      </c>
    </row>
    <row r="500" spans="1:15" ht="15.75" customHeight="1" x14ac:dyDescent="0.2">
      <c r="A500" s="11">
        <v>44889</v>
      </c>
      <c r="B500" s="12">
        <f t="shared" si="5"/>
        <v>499</v>
      </c>
      <c r="C500" s="10" t="s">
        <v>87</v>
      </c>
      <c r="D500" s="10" t="s">
        <v>59</v>
      </c>
      <c r="E500" s="10">
        <v>1</v>
      </c>
      <c r="F500" s="10" t="s">
        <v>3</v>
      </c>
      <c r="G500" s="10">
        <v>1</v>
      </c>
      <c r="H500" s="10" t="s">
        <v>59</v>
      </c>
      <c r="I500" s="10">
        <v>0</v>
      </c>
      <c r="K500" s="2">
        <v>0.5</v>
      </c>
      <c r="L500" s="13">
        <f t="shared" si="4"/>
        <v>0.55555555555555558</v>
      </c>
      <c r="M500" s="13">
        <f>N500/Sheet1!$B500</f>
        <v>0.55711422845691383</v>
      </c>
      <c r="N500" s="2">
        <f t="shared" si="3"/>
        <v>278</v>
      </c>
      <c r="O500" s="2">
        <f>IF(Sheet1!$H500="ted",1,0)</f>
        <v>0</v>
      </c>
    </row>
    <row r="501" spans="1:15" ht="15.75" customHeight="1" x14ac:dyDescent="0.2">
      <c r="A501" s="11">
        <v>44889</v>
      </c>
      <c r="B501" s="12">
        <f t="shared" si="5"/>
        <v>500</v>
      </c>
      <c r="C501" s="10" t="s">
        <v>87</v>
      </c>
      <c r="D501" s="10" t="s">
        <v>57</v>
      </c>
      <c r="E501" s="10">
        <v>1</v>
      </c>
      <c r="F501" s="10" t="s">
        <v>3</v>
      </c>
      <c r="G501" s="10">
        <v>0</v>
      </c>
      <c r="H501" s="10" t="s">
        <v>8</v>
      </c>
      <c r="I501" s="10">
        <v>0</v>
      </c>
      <c r="K501" s="2">
        <v>0.5</v>
      </c>
      <c r="L501" s="13">
        <f t="shared" si="4"/>
        <v>0.55555555555555558</v>
      </c>
      <c r="M501" s="13">
        <f>N501/Sheet1!$B501</f>
        <v>0.55800000000000005</v>
      </c>
      <c r="N501" s="2">
        <f t="shared" si="3"/>
        <v>279</v>
      </c>
      <c r="O501" s="2">
        <f>IF(Sheet1!$H501="ted",1,0)</f>
        <v>1</v>
      </c>
    </row>
    <row r="502" spans="1:15" ht="15.75" customHeight="1" x14ac:dyDescent="0.2">
      <c r="A502" s="11">
        <v>44889</v>
      </c>
      <c r="B502" s="12">
        <f t="shared" si="5"/>
        <v>501</v>
      </c>
      <c r="C502" s="10" t="s">
        <v>87</v>
      </c>
      <c r="D502" s="10" t="s">
        <v>59</v>
      </c>
      <c r="E502" s="10">
        <v>1</v>
      </c>
      <c r="F502" s="10" t="s">
        <v>3</v>
      </c>
      <c r="G502" s="10">
        <v>1</v>
      </c>
      <c r="H502" s="10" t="s">
        <v>8</v>
      </c>
      <c r="I502" s="10">
        <v>0</v>
      </c>
      <c r="K502" s="2">
        <v>0.5</v>
      </c>
      <c r="L502" s="13">
        <f t="shared" si="4"/>
        <v>0.55555555555555558</v>
      </c>
      <c r="M502" s="13">
        <f>N502/Sheet1!$B502</f>
        <v>0.55888223552894212</v>
      </c>
      <c r="N502" s="2">
        <f t="shared" si="3"/>
        <v>280</v>
      </c>
      <c r="O502" s="2">
        <f>IF(Sheet1!$H502="ted",1,0)</f>
        <v>1</v>
      </c>
    </row>
    <row r="503" spans="1:15" ht="15.75" customHeight="1" x14ac:dyDescent="0.2">
      <c r="A503" s="11">
        <v>44889</v>
      </c>
      <c r="B503" s="12">
        <f t="shared" si="5"/>
        <v>502</v>
      </c>
      <c r="C503" s="10" t="s">
        <v>87</v>
      </c>
      <c r="D503" s="10" t="s">
        <v>59</v>
      </c>
      <c r="E503" s="10">
        <v>1</v>
      </c>
      <c r="F503" s="10" t="s">
        <v>4</v>
      </c>
      <c r="G503" s="10">
        <v>0</v>
      </c>
      <c r="H503" s="10" t="s">
        <v>59</v>
      </c>
      <c r="I503" s="10">
        <v>0</v>
      </c>
      <c r="K503" s="2">
        <v>0.5</v>
      </c>
      <c r="L503" s="13">
        <f t="shared" si="4"/>
        <v>0.55555555555555558</v>
      </c>
      <c r="M503" s="13">
        <f>N503/Sheet1!$B503</f>
        <v>0.55976095617529875</v>
      </c>
      <c r="N503" s="2">
        <f t="shared" si="3"/>
        <v>281</v>
      </c>
      <c r="O503" s="2">
        <f>IF(Sheet1!$H503="ted",1,0)</f>
        <v>0</v>
      </c>
    </row>
    <row r="504" spans="1:15" ht="15.75" customHeight="1" x14ac:dyDescent="0.2">
      <c r="A504" s="11">
        <v>44889</v>
      </c>
      <c r="B504" s="12">
        <f t="shared" si="5"/>
        <v>503</v>
      </c>
      <c r="C504" s="10" t="s">
        <v>87</v>
      </c>
      <c r="D504" s="10" t="s">
        <v>59</v>
      </c>
      <c r="E504" s="10">
        <v>0</v>
      </c>
      <c r="F504" s="10" t="s">
        <v>3</v>
      </c>
      <c r="G504" s="10">
        <v>0</v>
      </c>
      <c r="H504" s="10" t="s">
        <v>8</v>
      </c>
      <c r="I504" s="10">
        <v>0</v>
      </c>
      <c r="K504" s="2">
        <v>0.5</v>
      </c>
      <c r="L504" s="13">
        <f t="shared" si="4"/>
        <v>0.55555555555555558</v>
      </c>
      <c r="M504" s="13">
        <f>N504/Sheet1!$B504</f>
        <v>0.55864811133200798</v>
      </c>
      <c r="N504" s="2">
        <f t="shared" si="3"/>
        <v>281</v>
      </c>
      <c r="O504" s="2">
        <f>IF(Sheet1!$H504="ted",1,0)</f>
        <v>1</v>
      </c>
    </row>
    <row r="505" spans="1:15" ht="15.75" customHeight="1" x14ac:dyDescent="0.2">
      <c r="A505" s="11">
        <v>44889</v>
      </c>
      <c r="B505" s="12">
        <f t="shared" si="5"/>
        <v>504</v>
      </c>
      <c r="C505" s="10" t="s">
        <v>87</v>
      </c>
      <c r="D505" s="10" t="s">
        <v>59</v>
      </c>
      <c r="E505" s="10">
        <v>0</v>
      </c>
      <c r="F505" s="10" t="s">
        <v>3</v>
      </c>
      <c r="G505" s="10">
        <v>2</v>
      </c>
      <c r="H505" s="10" t="s">
        <v>59</v>
      </c>
      <c r="I505" s="10">
        <v>0</v>
      </c>
      <c r="K505" s="2">
        <v>0.5</v>
      </c>
      <c r="L505" s="13">
        <f t="shared" si="4"/>
        <v>0.55555555555555558</v>
      </c>
      <c r="M505" s="13">
        <f>N505/Sheet1!$B505</f>
        <v>0.55753968253968256</v>
      </c>
      <c r="N505" s="2">
        <f t="shared" si="3"/>
        <v>281</v>
      </c>
      <c r="O505" s="2">
        <f>IF(Sheet1!$H505="ted",1,0)</f>
        <v>0</v>
      </c>
    </row>
    <row r="506" spans="1:15" ht="15.75" customHeight="1" x14ac:dyDescent="0.2">
      <c r="A506" s="11">
        <v>44908</v>
      </c>
      <c r="B506" s="12">
        <f t="shared" si="5"/>
        <v>505</v>
      </c>
      <c r="C506" s="10" t="s">
        <v>87</v>
      </c>
      <c r="D506" s="10" t="s">
        <v>59</v>
      </c>
      <c r="E506" s="10">
        <v>1</v>
      </c>
      <c r="F506" s="10" t="s">
        <v>3</v>
      </c>
      <c r="G506" s="10">
        <v>2</v>
      </c>
      <c r="H506" s="10" t="s">
        <v>59</v>
      </c>
      <c r="I506" s="10">
        <v>0</v>
      </c>
      <c r="K506" s="2">
        <v>0.5</v>
      </c>
      <c r="L506" s="13">
        <f t="shared" si="4"/>
        <v>0.66666666666666663</v>
      </c>
      <c r="M506" s="13">
        <f>N506/Sheet1!$B506</f>
        <v>0.55841584158415847</v>
      </c>
      <c r="N506" s="2">
        <f t="shared" si="3"/>
        <v>282</v>
      </c>
      <c r="O506" s="2">
        <f>IF(Sheet1!$H506="ted",1,0)</f>
        <v>0</v>
      </c>
    </row>
    <row r="507" spans="1:15" ht="15.75" customHeight="1" x14ac:dyDescent="0.2">
      <c r="A507" s="11">
        <v>44908</v>
      </c>
      <c r="B507" s="12">
        <f t="shared" si="5"/>
        <v>506</v>
      </c>
      <c r="C507" s="10" t="s">
        <v>87</v>
      </c>
      <c r="D507" s="10" t="s">
        <v>59</v>
      </c>
      <c r="E507" s="10">
        <v>1</v>
      </c>
      <c r="F507" s="10" t="s">
        <v>2</v>
      </c>
      <c r="G507" s="10">
        <v>4</v>
      </c>
      <c r="H507" s="10" t="s">
        <v>8</v>
      </c>
      <c r="I507" s="10">
        <v>7</v>
      </c>
      <c r="K507" s="2">
        <v>0.5</v>
      </c>
      <c r="L507" s="13">
        <f t="shared" si="4"/>
        <v>0.66666666666666663</v>
      </c>
      <c r="M507" s="13">
        <f>N507/Sheet1!$B507</f>
        <v>0.55928853754940711</v>
      </c>
      <c r="N507" s="2">
        <f t="shared" si="3"/>
        <v>283</v>
      </c>
      <c r="O507" s="2">
        <f>IF(Sheet1!$H507="ted",1,0)</f>
        <v>1</v>
      </c>
    </row>
    <row r="508" spans="1:15" ht="15.75" customHeight="1" x14ac:dyDescent="0.2">
      <c r="A508" s="11">
        <v>44908</v>
      </c>
      <c r="B508" s="12">
        <f t="shared" si="5"/>
        <v>507</v>
      </c>
      <c r="C508" s="10" t="s">
        <v>87</v>
      </c>
      <c r="D508" s="10" t="s">
        <v>59</v>
      </c>
      <c r="E508" s="10">
        <v>0</v>
      </c>
      <c r="F508" s="10" t="s">
        <v>96</v>
      </c>
      <c r="G508" s="10">
        <v>0</v>
      </c>
      <c r="H508" s="10" t="s">
        <v>8</v>
      </c>
      <c r="I508" s="10">
        <v>0</v>
      </c>
      <c r="K508" s="2">
        <v>0.5</v>
      </c>
      <c r="L508" s="13">
        <f t="shared" si="4"/>
        <v>0.66666666666666663</v>
      </c>
      <c r="M508" s="13">
        <f>N508/Sheet1!$B508</f>
        <v>0.55818540433925046</v>
      </c>
      <c r="N508" s="2">
        <f t="shared" si="3"/>
        <v>283</v>
      </c>
      <c r="O508" s="2">
        <f>IF(Sheet1!$H508="ted",1,0)</f>
        <v>1</v>
      </c>
    </row>
    <row r="509" spans="1:15" ht="15.75" customHeight="1" x14ac:dyDescent="0.2">
      <c r="A509" s="11">
        <v>44908</v>
      </c>
      <c r="B509" s="12">
        <f t="shared" si="5"/>
        <v>508</v>
      </c>
      <c r="C509" s="10" t="s">
        <v>87</v>
      </c>
      <c r="D509" s="10" t="s">
        <v>59</v>
      </c>
      <c r="E509" s="10">
        <v>1</v>
      </c>
      <c r="F509" s="10" t="s">
        <v>3</v>
      </c>
      <c r="G509" s="10">
        <v>1</v>
      </c>
      <c r="H509" s="10" t="s">
        <v>59</v>
      </c>
      <c r="I509" s="10">
        <v>0</v>
      </c>
      <c r="K509" s="2">
        <v>0.5</v>
      </c>
      <c r="L509" s="13">
        <f t="shared" si="4"/>
        <v>0.66666666666666663</v>
      </c>
      <c r="M509" s="13">
        <f>N509/Sheet1!$B509</f>
        <v>0.55905511811023623</v>
      </c>
      <c r="N509" s="2">
        <f t="shared" si="3"/>
        <v>284</v>
      </c>
      <c r="O509" s="2">
        <f>IF(Sheet1!$H509="ted",1,0)</f>
        <v>0</v>
      </c>
    </row>
    <row r="510" spans="1:15" ht="15.75" customHeight="1" x14ac:dyDescent="0.2">
      <c r="A510" s="11">
        <v>44908</v>
      </c>
      <c r="B510" s="12">
        <f t="shared" si="5"/>
        <v>509</v>
      </c>
      <c r="C510" s="10" t="s">
        <v>87</v>
      </c>
      <c r="D510" s="10" t="s">
        <v>59</v>
      </c>
      <c r="E510" s="10">
        <v>1</v>
      </c>
      <c r="F510" s="10" t="s">
        <v>3</v>
      </c>
      <c r="G510" s="10">
        <v>4</v>
      </c>
      <c r="H510" s="10" t="s">
        <v>8</v>
      </c>
      <c r="I510" s="10">
        <v>0</v>
      </c>
      <c r="K510" s="2">
        <v>0.5</v>
      </c>
      <c r="L510" s="13">
        <f t="shared" si="4"/>
        <v>0.66666666666666663</v>
      </c>
      <c r="M510" s="13">
        <f>N510/Sheet1!$B510</f>
        <v>0.55992141453831046</v>
      </c>
      <c r="N510" s="2">
        <f t="shared" si="3"/>
        <v>285</v>
      </c>
      <c r="O510" s="2">
        <f>IF(Sheet1!$H510="ted",1,0)</f>
        <v>1</v>
      </c>
    </row>
    <row r="511" spans="1:15" ht="15.75" customHeight="1" x14ac:dyDescent="0.2">
      <c r="A511" s="11">
        <v>44912</v>
      </c>
      <c r="B511" s="12">
        <f t="shared" si="5"/>
        <v>510</v>
      </c>
      <c r="C511" s="10" t="s">
        <v>87</v>
      </c>
      <c r="D511" s="10" t="s">
        <v>59</v>
      </c>
      <c r="E511" s="10">
        <v>1</v>
      </c>
      <c r="F511" s="10" t="s">
        <v>3</v>
      </c>
      <c r="G511" s="10">
        <v>1</v>
      </c>
      <c r="H511" s="10" t="s">
        <v>8</v>
      </c>
      <c r="I511" s="10">
        <v>0</v>
      </c>
      <c r="K511" s="2">
        <v>0.5</v>
      </c>
      <c r="L511" s="13">
        <f t="shared" si="4"/>
        <v>0.66666666666666663</v>
      </c>
      <c r="M511" s="13">
        <f>N511/Sheet1!$B511</f>
        <v>0.5607843137254902</v>
      </c>
      <c r="N511" s="2">
        <f t="shared" si="3"/>
        <v>286</v>
      </c>
      <c r="O511" s="2">
        <f>IF(Sheet1!$H511="ted",1,0)</f>
        <v>1</v>
      </c>
    </row>
    <row r="512" spans="1:15" ht="15.75" customHeight="1" x14ac:dyDescent="0.2">
      <c r="A512" s="11">
        <v>44912</v>
      </c>
      <c r="B512" s="12">
        <f t="shared" si="5"/>
        <v>511</v>
      </c>
      <c r="C512" s="10" t="s">
        <v>87</v>
      </c>
      <c r="D512" s="10" t="s">
        <v>59</v>
      </c>
      <c r="E512" s="10">
        <v>1</v>
      </c>
      <c r="F512" s="10" t="s">
        <v>3</v>
      </c>
      <c r="G512" s="10">
        <v>1</v>
      </c>
      <c r="H512" s="10" t="s">
        <v>8</v>
      </c>
      <c r="I512" s="10">
        <v>0</v>
      </c>
      <c r="K512" s="2">
        <v>0.5</v>
      </c>
      <c r="L512" s="13">
        <f t="shared" si="4"/>
        <v>0.66666666666666663</v>
      </c>
      <c r="M512" s="13">
        <f>N512/Sheet1!$B512</f>
        <v>0.56164383561643838</v>
      </c>
      <c r="N512" s="2">
        <f t="shared" si="3"/>
        <v>287</v>
      </c>
      <c r="O512" s="2">
        <f>IF(Sheet1!$H512="ted",1,0)</f>
        <v>1</v>
      </c>
    </row>
    <row r="513" spans="1:15" ht="15.75" customHeight="1" x14ac:dyDescent="0.2">
      <c r="A513" s="11">
        <v>44912</v>
      </c>
      <c r="B513" s="12">
        <f t="shared" si="5"/>
        <v>512</v>
      </c>
      <c r="C513" s="10" t="s">
        <v>87</v>
      </c>
      <c r="D513" s="10" t="s">
        <v>59</v>
      </c>
      <c r="E513" s="10">
        <v>1</v>
      </c>
      <c r="F513" s="10" t="s">
        <v>3</v>
      </c>
      <c r="G513" s="10">
        <v>0</v>
      </c>
      <c r="H513" s="10" t="s">
        <v>8</v>
      </c>
      <c r="I513" s="10">
        <v>0</v>
      </c>
      <c r="K513" s="2">
        <v>0.5</v>
      </c>
      <c r="L513" s="13">
        <f t="shared" si="4"/>
        <v>0.77777777777777779</v>
      </c>
      <c r="M513" s="13">
        <f>N513/Sheet1!$B513</f>
        <v>0.5625</v>
      </c>
      <c r="N513" s="2">
        <f t="shared" ref="N513:N548" si="6">E513+N512</f>
        <v>288</v>
      </c>
      <c r="O513" s="2">
        <f>IF(Sheet1!$H513="ted",1,0)</f>
        <v>1</v>
      </c>
    </row>
    <row r="514" spans="1:15" ht="15.75" customHeight="1" x14ac:dyDescent="0.2">
      <c r="A514" s="11">
        <v>44912</v>
      </c>
      <c r="B514" s="12">
        <f t="shared" si="5"/>
        <v>513</v>
      </c>
      <c r="C514" s="10" t="s">
        <v>87</v>
      </c>
      <c r="D514" s="10" t="s">
        <v>59</v>
      </c>
      <c r="E514" s="10">
        <v>0</v>
      </c>
      <c r="F514" s="10" t="s">
        <v>3</v>
      </c>
      <c r="G514" s="10">
        <v>2</v>
      </c>
      <c r="H514" s="10" t="s">
        <v>59</v>
      </c>
      <c r="I514" s="10">
        <v>0</v>
      </c>
      <c r="K514" s="2">
        <v>0.5</v>
      </c>
      <c r="L514" s="13">
        <f t="shared" si="4"/>
        <v>0.77777777777777779</v>
      </c>
      <c r="M514" s="13">
        <f>N514/Sheet1!$B514</f>
        <v>0.56140350877192979</v>
      </c>
      <c r="N514" s="2">
        <f t="shared" si="6"/>
        <v>288</v>
      </c>
      <c r="O514" s="2">
        <f>IF(Sheet1!$H514="ted",1,0)</f>
        <v>0</v>
      </c>
    </row>
    <row r="515" spans="1:15" ht="15.75" customHeight="1" x14ac:dyDescent="0.2">
      <c r="A515" s="11">
        <v>44912</v>
      </c>
      <c r="B515" s="12">
        <f t="shared" si="5"/>
        <v>514</v>
      </c>
      <c r="C515" s="10" t="s">
        <v>87</v>
      </c>
      <c r="D515" s="10" t="s">
        <v>59</v>
      </c>
      <c r="E515" s="10">
        <v>0</v>
      </c>
      <c r="F515" s="10" t="s">
        <v>3</v>
      </c>
      <c r="G515" s="10">
        <v>3</v>
      </c>
      <c r="H515" s="10" t="s">
        <v>59</v>
      </c>
      <c r="I515" s="10">
        <v>0</v>
      </c>
      <c r="K515" s="2">
        <v>0.5</v>
      </c>
      <c r="L515" s="13">
        <f t="shared" si="4"/>
        <v>0.66666666666666663</v>
      </c>
      <c r="M515" s="13">
        <f>N515/Sheet1!$B515</f>
        <v>0.56031128404669261</v>
      </c>
      <c r="N515" s="2">
        <f t="shared" si="6"/>
        <v>288</v>
      </c>
      <c r="O515" s="2">
        <f>IF(Sheet1!$H515="ted",1,0)</f>
        <v>0</v>
      </c>
    </row>
    <row r="516" spans="1:15" ht="15.75" customHeight="1" x14ac:dyDescent="0.2">
      <c r="A516" s="11">
        <v>44912</v>
      </c>
      <c r="B516" s="12">
        <f t="shared" si="5"/>
        <v>515</v>
      </c>
      <c r="C516" s="10" t="s">
        <v>87</v>
      </c>
      <c r="D516" s="10" t="s">
        <v>59</v>
      </c>
      <c r="E516" s="10">
        <v>0</v>
      </c>
      <c r="F516" s="10" t="s">
        <v>96</v>
      </c>
      <c r="G516" s="10">
        <v>0</v>
      </c>
      <c r="H516" s="10" t="s">
        <v>59</v>
      </c>
      <c r="I516" s="10">
        <v>4</v>
      </c>
      <c r="K516" s="2">
        <v>0.5</v>
      </c>
      <c r="L516" s="13">
        <f t="shared" si="4"/>
        <v>0.55555555555555558</v>
      </c>
      <c r="M516" s="13">
        <f>N516/Sheet1!$B516</f>
        <v>0.5592233009708738</v>
      </c>
      <c r="N516" s="2">
        <f t="shared" si="6"/>
        <v>288</v>
      </c>
      <c r="O516" s="2">
        <f>IF(Sheet1!$H516="ted",1,0)</f>
        <v>0</v>
      </c>
    </row>
    <row r="517" spans="1:15" ht="15.75" customHeight="1" x14ac:dyDescent="0.2">
      <c r="A517" s="11">
        <v>44918</v>
      </c>
      <c r="B517" s="12">
        <f t="shared" si="5"/>
        <v>516</v>
      </c>
      <c r="C517" s="10" t="s">
        <v>87</v>
      </c>
      <c r="D517" s="10" t="s">
        <v>60</v>
      </c>
      <c r="E517" s="10">
        <v>1</v>
      </c>
      <c r="F517" s="10" t="s">
        <v>3</v>
      </c>
      <c r="G517" s="10">
        <v>0</v>
      </c>
      <c r="H517" s="10" t="s">
        <v>8</v>
      </c>
      <c r="I517" s="10">
        <v>0</v>
      </c>
      <c r="K517" s="2">
        <v>0.5</v>
      </c>
      <c r="L517" s="13">
        <f t="shared" si="4"/>
        <v>0.66666666666666663</v>
      </c>
      <c r="M517" s="13">
        <f>N517/Sheet1!$B517</f>
        <v>0.56007751937984496</v>
      </c>
      <c r="N517" s="2">
        <f t="shared" si="6"/>
        <v>289</v>
      </c>
      <c r="O517" s="2">
        <f>IF(Sheet1!$H517="ted",1,0)</f>
        <v>1</v>
      </c>
    </row>
    <row r="518" spans="1:15" ht="15.75" customHeight="1" x14ac:dyDescent="0.2">
      <c r="A518" s="11">
        <v>44918</v>
      </c>
      <c r="B518" s="12">
        <f t="shared" si="5"/>
        <v>517</v>
      </c>
      <c r="C518" s="10" t="s">
        <v>87</v>
      </c>
      <c r="D518" s="10" t="s">
        <v>57</v>
      </c>
      <c r="E518" s="10">
        <v>1</v>
      </c>
      <c r="F518" s="10" t="s">
        <v>3</v>
      </c>
      <c r="G518" s="10">
        <v>0</v>
      </c>
      <c r="H518" s="10" t="s">
        <v>8</v>
      </c>
      <c r="I518" s="10">
        <v>0</v>
      </c>
      <c r="K518" s="2">
        <v>0.5</v>
      </c>
      <c r="L518" s="13">
        <f t="shared" si="4"/>
        <v>0.66666666666666663</v>
      </c>
      <c r="M518" s="13">
        <f>N518/Sheet1!$B518</f>
        <v>0.56092843326885877</v>
      </c>
      <c r="N518" s="2">
        <f t="shared" si="6"/>
        <v>290</v>
      </c>
      <c r="O518" s="2">
        <f>IF(Sheet1!$H518="ted",1,0)</f>
        <v>1</v>
      </c>
    </row>
    <row r="519" spans="1:15" ht="15.75" customHeight="1" x14ac:dyDescent="0.2">
      <c r="A519" s="11">
        <v>44918</v>
      </c>
      <c r="B519" s="12">
        <f t="shared" si="5"/>
        <v>518</v>
      </c>
      <c r="C519" s="10" t="s">
        <v>87</v>
      </c>
      <c r="D519" s="10" t="s">
        <v>59</v>
      </c>
      <c r="E519" s="10">
        <v>0</v>
      </c>
      <c r="F519" s="10" t="s">
        <v>3</v>
      </c>
      <c r="G519" s="10">
        <v>0</v>
      </c>
      <c r="H519" s="10" t="s">
        <v>8</v>
      </c>
      <c r="I519" s="10">
        <v>0</v>
      </c>
      <c r="K519" s="2">
        <v>0.5</v>
      </c>
      <c r="L519" s="13">
        <f t="shared" si="4"/>
        <v>0.55555555555555558</v>
      </c>
      <c r="M519" s="13">
        <f>N519/Sheet1!$B519</f>
        <v>0.55984555984555984</v>
      </c>
      <c r="N519" s="2">
        <f t="shared" si="6"/>
        <v>290</v>
      </c>
      <c r="O519" s="2">
        <f>IF(Sheet1!$H519="ted",1,0)</f>
        <v>1</v>
      </c>
    </row>
    <row r="520" spans="1:15" ht="15.75" customHeight="1" x14ac:dyDescent="0.2">
      <c r="A520" s="11">
        <v>44918</v>
      </c>
      <c r="B520" s="12">
        <f t="shared" si="5"/>
        <v>519</v>
      </c>
      <c r="C520" s="10" t="s">
        <v>87</v>
      </c>
      <c r="D520" s="10" t="s">
        <v>59</v>
      </c>
      <c r="E520" s="10">
        <v>1</v>
      </c>
      <c r="F520" s="10" t="s">
        <v>3</v>
      </c>
      <c r="G520" s="10">
        <v>1</v>
      </c>
      <c r="H520" s="10" t="s">
        <v>59</v>
      </c>
      <c r="I520" s="10">
        <v>0</v>
      </c>
      <c r="K520" s="2">
        <v>0.5</v>
      </c>
      <c r="L520" s="13">
        <f t="shared" ref="L520:L548" si="7">SUM(E512:E520)/9</f>
        <v>0.55555555555555558</v>
      </c>
      <c r="M520" s="13">
        <f>N520/Sheet1!$B520</f>
        <v>0.56069364161849711</v>
      </c>
      <c r="N520" s="2">
        <f t="shared" si="6"/>
        <v>291</v>
      </c>
      <c r="O520" s="2">
        <f>IF(Sheet1!$H520="ted",1,0)</f>
        <v>0</v>
      </c>
    </row>
    <row r="521" spans="1:15" ht="15.75" customHeight="1" x14ac:dyDescent="0.2">
      <c r="A521" s="11">
        <v>44918</v>
      </c>
      <c r="B521" s="12">
        <f t="shared" si="5"/>
        <v>520</v>
      </c>
      <c r="C521" s="10" t="s">
        <v>87</v>
      </c>
      <c r="D521" s="10" t="s">
        <v>59</v>
      </c>
      <c r="E521" s="10">
        <v>0</v>
      </c>
      <c r="F521" s="10" t="s">
        <v>3</v>
      </c>
      <c r="G521" s="10">
        <v>1</v>
      </c>
      <c r="H521" s="10" t="s">
        <v>8</v>
      </c>
      <c r="I521" s="10">
        <v>0</v>
      </c>
      <c r="K521" s="2">
        <v>0.5</v>
      </c>
      <c r="L521" s="13">
        <f t="shared" si="7"/>
        <v>0.44444444444444442</v>
      </c>
      <c r="M521" s="13">
        <f>N521/Sheet1!$B521</f>
        <v>0.55961538461538463</v>
      </c>
      <c r="N521" s="2">
        <f t="shared" si="6"/>
        <v>291</v>
      </c>
      <c r="O521" s="2">
        <f>IF(Sheet1!$H521="ted",1,0)</f>
        <v>1</v>
      </c>
    </row>
    <row r="522" spans="1:15" ht="15.75" customHeight="1" x14ac:dyDescent="0.2">
      <c r="A522" s="11">
        <v>44918</v>
      </c>
      <c r="B522" s="12">
        <f t="shared" si="5"/>
        <v>521</v>
      </c>
      <c r="C522" s="10" t="s">
        <v>87</v>
      </c>
      <c r="D522" s="10" t="s">
        <v>59</v>
      </c>
      <c r="E522" s="10">
        <v>0</v>
      </c>
      <c r="F522" s="10" t="s">
        <v>107</v>
      </c>
      <c r="G522" s="10">
        <v>7</v>
      </c>
      <c r="H522" s="10" t="s">
        <v>59</v>
      </c>
      <c r="I522" s="10">
        <v>0</v>
      </c>
      <c r="K522" s="2">
        <v>0.5</v>
      </c>
      <c r="L522" s="13">
        <f t="shared" si="7"/>
        <v>0.33333333333333331</v>
      </c>
      <c r="M522" s="13">
        <f>N522/Sheet1!$B522</f>
        <v>0.55854126679462568</v>
      </c>
      <c r="N522" s="2">
        <f t="shared" si="6"/>
        <v>291</v>
      </c>
      <c r="O522" s="2">
        <f>IF(Sheet1!$H522="ted",1,0)</f>
        <v>0</v>
      </c>
    </row>
    <row r="523" spans="1:15" ht="15.75" customHeight="1" x14ac:dyDescent="0.2">
      <c r="A523" s="11">
        <v>44918</v>
      </c>
      <c r="B523" s="12">
        <f t="shared" si="5"/>
        <v>522</v>
      </c>
      <c r="C523" s="10" t="s">
        <v>87</v>
      </c>
      <c r="D523" s="10" t="s">
        <v>59</v>
      </c>
      <c r="E523" s="10">
        <v>1</v>
      </c>
      <c r="F523" s="10" t="s">
        <v>3</v>
      </c>
      <c r="G523" s="10">
        <v>1</v>
      </c>
      <c r="H523" s="10" t="s">
        <v>59</v>
      </c>
      <c r="I523" s="10">
        <v>0</v>
      </c>
      <c r="K523" s="2">
        <v>0.5</v>
      </c>
      <c r="L523" s="13">
        <f t="shared" si="7"/>
        <v>0.44444444444444442</v>
      </c>
      <c r="M523" s="13">
        <f>N523/Sheet1!$B523</f>
        <v>0.55938697318007657</v>
      </c>
      <c r="N523" s="2">
        <f t="shared" si="6"/>
        <v>292</v>
      </c>
      <c r="O523" s="2">
        <f>IF(Sheet1!$H523="ted",1,0)</f>
        <v>0</v>
      </c>
    </row>
    <row r="524" spans="1:15" ht="15.75" customHeight="1" x14ac:dyDescent="0.2">
      <c r="A524" s="11">
        <v>44936</v>
      </c>
      <c r="B524" s="12">
        <f t="shared" si="5"/>
        <v>523</v>
      </c>
      <c r="C524" s="10" t="s">
        <v>102</v>
      </c>
      <c r="D524" s="10" t="s">
        <v>108</v>
      </c>
      <c r="E524" s="10">
        <v>1</v>
      </c>
      <c r="F524" s="10" t="s">
        <v>3</v>
      </c>
      <c r="G524" s="10">
        <v>1</v>
      </c>
      <c r="H524" s="10" t="s">
        <v>8</v>
      </c>
      <c r="I524" s="10">
        <v>0</v>
      </c>
      <c r="K524" s="2">
        <v>0.5</v>
      </c>
      <c r="L524" s="13">
        <f t="shared" si="7"/>
        <v>0.55555555555555558</v>
      </c>
      <c r="M524" s="13">
        <f>N524/Sheet1!$B524</f>
        <v>0.56022944550669218</v>
      </c>
      <c r="N524" s="2">
        <f t="shared" si="6"/>
        <v>293</v>
      </c>
      <c r="O524" s="2">
        <f>IF(Sheet1!$H524="ted",1,0)</f>
        <v>1</v>
      </c>
    </row>
    <row r="525" spans="1:15" ht="15.75" customHeight="1" x14ac:dyDescent="0.2">
      <c r="A525" s="11">
        <v>44936</v>
      </c>
      <c r="B525" s="12">
        <f t="shared" si="5"/>
        <v>524</v>
      </c>
      <c r="C525" s="10" t="s">
        <v>102</v>
      </c>
      <c r="D525" s="10" t="s">
        <v>108</v>
      </c>
      <c r="E525" s="10">
        <v>1</v>
      </c>
      <c r="F525" s="10" t="s">
        <v>3</v>
      </c>
      <c r="G525" s="10">
        <v>5</v>
      </c>
      <c r="H525" s="10" t="s">
        <v>8</v>
      </c>
      <c r="I525" s="10">
        <v>0</v>
      </c>
      <c r="K525" s="2">
        <v>0.5</v>
      </c>
      <c r="L525" s="13">
        <f t="shared" si="7"/>
        <v>0.66666666666666663</v>
      </c>
      <c r="M525" s="13">
        <f>N525/Sheet1!$B525</f>
        <v>0.56106870229007633</v>
      </c>
      <c r="N525" s="2">
        <f t="shared" si="6"/>
        <v>294</v>
      </c>
      <c r="O525" s="2">
        <f>IF(Sheet1!$H525="ted",1,0)</f>
        <v>1</v>
      </c>
    </row>
    <row r="526" spans="1:15" ht="15.75" customHeight="1" x14ac:dyDescent="0.2">
      <c r="A526" s="11">
        <v>44936</v>
      </c>
      <c r="B526" s="12">
        <f t="shared" si="5"/>
        <v>525</v>
      </c>
      <c r="C526" s="10" t="s">
        <v>102</v>
      </c>
      <c r="D526" s="10" t="s">
        <v>108</v>
      </c>
      <c r="E526" s="10">
        <v>1</v>
      </c>
      <c r="F526" s="10" t="s">
        <v>3</v>
      </c>
      <c r="G526" s="10">
        <v>1</v>
      </c>
      <c r="H526" s="10" t="s">
        <v>8</v>
      </c>
      <c r="I526" s="10">
        <v>0</v>
      </c>
      <c r="K526" s="2">
        <v>0.5</v>
      </c>
      <c r="L526" s="13">
        <f t="shared" si="7"/>
        <v>0.66666666666666663</v>
      </c>
      <c r="M526" s="13">
        <f>N526/Sheet1!$B526</f>
        <v>0.56190476190476191</v>
      </c>
      <c r="N526" s="2">
        <f t="shared" si="6"/>
        <v>295</v>
      </c>
      <c r="O526" s="2">
        <f>IF(Sheet1!$H526="ted",1,0)</f>
        <v>1</v>
      </c>
    </row>
    <row r="527" spans="1:15" ht="15.75" customHeight="1" x14ac:dyDescent="0.2">
      <c r="A527" s="11">
        <v>44936</v>
      </c>
      <c r="B527" s="12">
        <f t="shared" si="5"/>
        <v>526</v>
      </c>
      <c r="C527" s="10" t="s">
        <v>102</v>
      </c>
      <c r="D527" s="10" t="s">
        <v>59</v>
      </c>
      <c r="E527" s="10">
        <v>1</v>
      </c>
      <c r="F527" s="10" t="s">
        <v>3</v>
      </c>
      <c r="G527" s="10">
        <v>1</v>
      </c>
      <c r="H527" s="10" t="s">
        <v>59</v>
      </c>
      <c r="I527" s="10">
        <v>0</v>
      </c>
      <c r="K527" s="2">
        <v>0.5</v>
      </c>
      <c r="L527" s="13">
        <f t="shared" si="7"/>
        <v>0.66666666666666663</v>
      </c>
      <c r="M527" s="13">
        <f>N527/Sheet1!$B527</f>
        <v>0.56273764258555137</v>
      </c>
      <c r="N527" s="2">
        <f t="shared" si="6"/>
        <v>296</v>
      </c>
      <c r="O527" s="2">
        <f>IF(Sheet1!$H527="ted",1,0)</f>
        <v>0</v>
      </c>
    </row>
    <row r="528" spans="1:15" ht="15.75" customHeight="1" x14ac:dyDescent="0.2">
      <c r="A528" s="11">
        <v>44936</v>
      </c>
      <c r="B528" s="12">
        <f t="shared" si="5"/>
        <v>527</v>
      </c>
      <c r="C528" s="10" t="s">
        <v>102</v>
      </c>
      <c r="D528" s="10" t="s">
        <v>59</v>
      </c>
      <c r="E528" s="10">
        <v>1</v>
      </c>
      <c r="F528" s="10" t="s">
        <v>3</v>
      </c>
      <c r="G528" s="10">
        <v>1</v>
      </c>
      <c r="H528" s="10" t="s">
        <v>8</v>
      </c>
      <c r="I528" s="10">
        <v>0</v>
      </c>
      <c r="K528" s="2">
        <v>0.5</v>
      </c>
      <c r="L528" s="13">
        <f t="shared" si="7"/>
        <v>0.77777777777777779</v>
      </c>
      <c r="M528" s="13">
        <f>N528/Sheet1!$B528</f>
        <v>0.56356736242884253</v>
      </c>
      <c r="N528" s="2">
        <f t="shared" si="6"/>
        <v>297</v>
      </c>
      <c r="O528" s="2">
        <f>IF(Sheet1!$H528="ted",1,0)</f>
        <v>1</v>
      </c>
    </row>
    <row r="529" spans="1:15" ht="15.75" customHeight="1" x14ac:dyDescent="0.2">
      <c r="A529" s="11">
        <v>44936</v>
      </c>
      <c r="B529" s="12">
        <f t="shared" si="5"/>
        <v>528</v>
      </c>
      <c r="C529" s="10" t="s">
        <v>102</v>
      </c>
      <c r="D529" s="10" t="s">
        <v>59</v>
      </c>
      <c r="E529" s="10">
        <v>1</v>
      </c>
      <c r="F529" s="10" t="s">
        <v>2</v>
      </c>
      <c r="G529" s="10">
        <v>4</v>
      </c>
      <c r="H529" s="10" t="s">
        <v>8</v>
      </c>
      <c r="I529" s="10">
        <v>0</v>
      </c>
      <c r="K529" s="2">
        <v>0.5</v>
      </c>
      <c r="L529" s="13">
        <f t="shared" si="7"/>
        <v>0.77777777777777779</v>
      </c>
      <c r="M529" s="13">
        <f>N529/Sheet1!$B529</f>
        <v>0.56439393939393945</v>
      </c>
      <c r="N529" s="2">
        <f t="shared" si="6"/>
        <v>298</v>
      </c>
      <c r="O529" s="2">
        <f>IF(Sheet1!$H529="ted",1,0)</f>
        <v>1</v>
      </c>
    </row>
    <row r="530" spans="1:15" ht="15.75" customHeight="1" x14ac:dyDescent="0.2">
      <c r="A530" s="11">
        <v>44936</v>
      </c>
      <c r="B530" s="12">
        <f t="shared" si="5"/>
        <v>529</v>
      </c>
      <c r="C530" s="10" t="s">
        <v>102</v>
      </c>
      <c r="D530" s="10" t="s">
        <v>59</v>
      </c>
      <c r="E530" s="10">
        <v>1</v>
      </c>
      <c r="F530" s="10" t="s">
        <v>3</v>
      </c>
      <c r="G530" s="10">
        <v>2</v>
      </c>
      <c r="H530" s="10" t="s">
        <v>8</v>
      </c>
      <c r="I530" s="10">
        <v>0</v>
      </c>
      <c r="K530" s="2">
        <v>0.5</v>
      </c>
      <c r="L530" s="13">
        <f t="shared" si="7"/>
        <v>0.88888888888888884</v>
      </c>
      <c r="M530" s="13">
        <f>N530/Sheet1!$B530</f>
        <v>0.56521739130434778</v>
      </c>
      <c r="N530" s="2">
        <f t="shared" si="6"/>
        <v>299</v>
      </c>
      <c r="O530" s="2">
        <f>IF(Sheet1!$H530="ted",1,0)</f>
        <v>1</v>
      </c>
    </row>
    <row r="531" spans="1:15" ht="15.75" customHeight="1" x14ac:dyDescent="0.2">
      <c r="A531" s="11">
        <v>44936</v>
      </c>
      <c r="B531" s="12">
        <f t="shared" si="5"/>
        <v>530</v>
      </c>
      <c r="C531" s="10" t="s">
        <v>102</v>
      </c>
      <c r="D531" s="10" t="s">
        <v>59</v>
      </c>
      <c r="E531" s="10">
        <v>0</v>
      </c>
      <c r="F531" s="10" t="s">
        <v>4</v>
      </c>
      <c r="G531" s="10">
        <v>0</v>
      </c>
      <c r="H531" s="10" t="s">
        <v>8</v>
      </c>
      <c r="I531" s="10">
        <v>0</v>
      </c>
      <c r="K531" s="2">
        <v>0.5</v>
      </c>
      <c r="L531" s="13">
        <f t="shared" si="7"/>
        <v>0.88888888888888884</v>
      </c>
      <c r="M531" s="13">
        <f>N531/Sheet1!$B531</f>
        <v>0.5641509433962264</v>
      </c>
      <c r="N531" s="2">
        <f t="shared" si="6"/>
        <v>299</v>
      </c>
      <c r="O531" s="2">
        <f>IF(Sheet1!$H531="ted",1,0)</f>
        <v>1</v>
      </c>
    </row>
    <row r="532" spans="1:15" ht="15.75" customHeight="1" x14ac:dyDescent="0.2">
      <c r="A532" s="11">
        <v>44943</v>
      </c>
      <c r="B532" s="12">
        <f t="shared" si="5"/>
        <v>531</v>
      </c>
      <c r="C532" s="10" t="s">
        <v>102</v>
      </c>
      <c r="D532" s="10" t="s">
        <v>59</v>
      </c>
      <c r="E532" s="10">
        <v>0</v>
      </c>
      <c r="F532" s="10" t="s">
        <v>4</v>
      </c>
      <c r="G532" s="10">
        <v>0</v>
      </c>
      <c r="H532" s="10" t="s">
        <v>8</v>
      </c>
      <c r="I532" s="10">
        <v>0</v>
      </c>
      <c r="K532" s="2">
        <v>0.5</v>
      </c>
      <c r="L532" s="13">
        <f t="shared" si="7"/>
        <v>0.77777777777777779</v>
      </c>
      <c r="M532" s="13">
        <f>N532/Sheet1!$B532</f>
        <v>0.56308851224105461</v>
      </c>
      <c r="N532" s="2">
        <f t="shared" si="6"/>
        <v>299</v>
      </c>
      <c r="O532" s="2">
        <f>IF(Sheet1!$H532="ted",1,0)</f>
        <v>1</v>
      </c>
    </row>
    <row r="533" spans="1:15" ht="15.75" customHeight="1" x14ac:dyDescent="0.2">
      <c r="A533" s="11">
        <v>44943</v>
      </c>
      <c r="B533" s="12">
        <f t="shared" si="5"/>
        <v>532</v>
      </c>
      <c r="C533" s="10" t="s">
        <v>102</v>
      </c>
      <c r="D533" s="10" t="s">
        <v>59</v>
      </c>
      <c r="E533" s="10">
        <v>1</v>
      </c>
      <c r="F533" s="10" t="s">
        <v>3</v>
      </c>
      <c r="G533" s="10">
        <v>0</v>
      </c>
      <c r="H533" s="10" t="s">
        <v>59</v>
      </c>
      <c r="I533" s="10">
        <v>0</v>
      </c>
      <c r="K533" s="2">
        <v>0.5</v>
      </c>
      <c r="L533" s="13">
        <f t="shared" si="7"/>
        <v>0.77777777777777779</v>
      </c>
      <c r="M533" s="13">
        <f>N533/Sheet1!$B533</f>
        <v>0.56390977443609025</v>
      </c>
      <c r="N533" s="2">
        <f t="shared" si="6"/>
        <v>300</v>
      </c>
      <c r="O533" s="2">
        <f>IF(Sheet1!$H533="ted",1,0)</f>
        <v>0</v>
      </c>
    </row>
    <row r="534" spans="1:15" ht="15.75" customHeight="1" x14ac:dyDescent="0.2">
      <c r="A534" s="11">
        <v>44943</v>
      </c>
      <c r="B534" s="12">
        <f t="shared" si="5"/>
        <v>533</v>
      </c>
      <c r="C534" s="10" t="s">
        <v>102</v>
      </c>
      <c r="D534" s="10" t="s">
        <v>109</v>
      </c>
      <c r="E534" s="10">
        <v>0</v>
      </c>
      <c r="F534" s="10" t="s">
        <v>3</v>
      </c>
      <c r="G534" s="10">
        <v>0</v>
      </c>
      <c r="H534" s="10" t="s">
        <v>8</v>
      </c>
      <c r="I534" s="10">
        <v>0</v>
      </c>
      <c r="K534" s="2">
        <v>0.5</v>
      </c>
      <c r="L534" s="13">
        <f t="shared" si="7"/>
        <v>0.66666666666666663</v>
      </c>
      <c r="M534" s="13">
        <f>N534/Sheet1!$B534</f>
        <v>0.56285178236397748</v>
      </c>
      <c r="N534" s="2">
        <f t="shared" si="6"/>
        <v>300</v>
      </c>
      <c r="O534" s="2">
        <f>IF(Sheet1!$H534="ted",1,0)</f>
        <v>1</v>
      </c>
    </row>
    <row r="535" spans="1:15" ht="15.75" customHeight="1" x14ac:dyDescent="0.2">
      <c r="A535" s="11">
        <v>44943</v>
      </c>
      <c r="B535" s="12">
        <f t="shared" si="5"/>
        <v>534</v>
      </c>
      <c r="C535" s="10" t="s">
        <v>102</v>
      </c>
      <c r="D535" s="10" t="s">
        <v>109</v>
      </c>
      <c r="E535" s="10">
        <v>0</v>
      </c>
      <c r="F535" s="10" t="s">
        <v>4</v>
      </c>
      <c r="G535" s="10">
        <v>0</v>
      </c>
      <c r="H535" s="10" t="s">
        <v>109</v>
      </c>
      <c r="I535" s="10">
        <v>0</v>
      </c>
      <c r="K535" s="2">
        <v>0.5</v>
      </c>
      <c r="L535" s="13">
        <f t="shared" si="7"/>
        <v>0.55555555555555558</v>
      </c>
      <c r="M535" s="13">
        <f>N535/Sheet1!$B535</f>
        <v>0.5617977528089888</v>
      </c>
      <c r="N535" s="2">
        <f t="shared" si="6"/>
        <v>300</v>
      </c>
      <c r="O535" s="2">
        <f>IF(Sheet1!$H535="ted",1,0)</f>
        <v>0</v>
      </c>
    </row>
    <row r="536" spans="1:15" ht="15.75" customHeight="1" x14ac:dyDescent="0.2">
      <c r="A536" s="11">
        <v>44950</v>
      </c>
      <c r="B536" s="12">
        <f t="shared" si="5"/>
        <v>535</v>
      </c>
      <c r="C536" s="10" t="s">
        <v>102</v>
      </c>
      <c r="D536" s="10" t="s">
        <v>110</v>
      </c>
      <c r="E536" s="10">
        <v>1</v>
      </c>
      <c r="F536" s="10" t="s">
        <v>3</v>
      </c>
      <c r="G536" s="10">
        <v>1</v>
      </c>
      <c r="H536" s="10" t="s">
        <v>110</v>
      </c>
      <c r="I536" s="10">
        <v>0</v>
      </c>
      <c r="K536" s="2">
        <v>0.5</v>
      </c>
      <c r="L536" s="13">
        <f t="shared" si="7"/>
        <v>0.55555555555555558</v>
      </c>
      <c r="M536" s="13">
        <f>N536/Sheet1!$B536</f>
        <v>0.56261682242990652</v>
      </c>
      <c r="N536" s="2">
        <f t="shared" si="6"/>
        <v>301</v>
      </c>
      <c r="O536" s="2">
        <f>IF(Sheet1!$H536="ted",1,0)</f>
        <v>0</v>
      </c>
    </row>
    <row r="537" spans="1:15" ht="15.75" customHeight="1" x14ac:dyDescent="0.2">
      <c r="A537" s="11">
        <v>44950</v>
      </c>
      <c r="B537" s="12">
        <f t="shared" si="5"/>
        <v>536</v>
      </c>
      <c r="C537" s="10" t="s">
        <v>102</v>
      </c>
      <c r="D537" s="10" t="s">
        <v>110</v>
      </c>
      <c r="E537" s="10">
        <v>1</v>
      </c>
      <c r="F537" s="10" t="s">
        <v>3</v>
      </c>
      <c r="G537" s="10">
        <v>0</v>
      </c>
      <c r="H537" s="10" t="s">
        <v>8</v>
      </c>
      <c r="I537" s="10">
        <v>0</v>
      </c>
      <c r="K537" s="2">
        <v>0.5</v>
      </c>
      <c r="L537" s="13">
        <f t="shared" si="7"/>
        <v>0.55555555555555558</v>
      </c>
      <c r="M537" s="13">
        <f>N537/Sheet1!$B537</f>
        <v>0.56343283582089554</v>
      </c>
      <c r="N537" s="2">
        <f t="shared" si="6"/>
        <v>302</v>
      </c>
      <c r="O537" s="2">
        <f>IF(Sheet1!$H537="ted",1,0)</f>
        <v>1</v>
      </c>
    </row>
    <row r="538" spans="1:15" ht="15.75" customHeight="1" x14ac:dyDescent="0.2">
      <c r="A538" s="11">
        <v>45002</v>
      </c>
      <c r="B538" s="12">
        <f t="shared" si="5"/>
        <v>537</v>
      </c>
      <c r="C538" s="10" t="s">
        <v>87</v>
      </c>
      <c r="D538" s="10" t="s">
        <v>57</v>
      </c>
      <c r="E538" s="10">
        <v>0</v>
      </c>
      <c r="F538" s="10" t="s">
        <v>3</v>
      </c>
      <c r="G538" s="10">
        <v>1</v>
      </c>
      <c r="H538" s="10" t="s">
        <v>57</v>
      </c>
      <c r="I538" s="10">
        <v>0</v>
      </c>
      <c r="K538" s="2">
        <v>0.5</v>
      </c>
      <c r="L538" s="13">
        <f t="shared" si="7"/>
        <v>0.44444444444444442</v>
      </c>
      <c r="M538" s="13">
        <f>N538/Sheet1!$B538</f>
        <v>0.56238361266294223</v>
      </c>
      <c r="N538" s="2">
        <f t="shared" si="6"/>
        <v>302</v>
      </c>
      <c r="O538" s="2">
        <f>IF(Sheet1!$H538="ted",1,0)</f>
        <v>0</v>
      </c>
    </row>
    <row r="539" spans="1:15" ht="15.75" customHeight="1" x14ac:dyDescent="0.2">
      <c r="A539" s="11">
        <v>45002</v>
      </c>
      <c r="B539" s="12">
        <f t="shared" si="5"/>
        <v>538</v>
      </c>
      <c r="C539" s="10" t="s">
        <v>87</v>
      </c>
      <c r="D539" s="10" t="s">
        <v>59</v>
      </c>
      <c r="E539" s="10">
        <v>1</v>
      </c>
      <c r="F539" s="10" t="s">
        <v>3</v>
      </c>
      <c r="G539" s="10">
        <v>0</v>
      </c>
      <c r="H539" s="10" t="s">
        <v>59</v>
      </c>
      <c r="I539" s="10">
        <v>0</v>
      </c>
      <c r="K539" s="2">
        <v>0.5</v>
      </c>
      <c r="L539" s="13">
        <f t="shared" si="7"/>
        <v>0.44444444444444442</v>
      </c>
      <c r="M539" s="13">
        <f>N539/Sheet1!$B539</f>
        <v>0.56319702602230481</v>
      </c>
      <c r="N539" s="2">
        <f t="shared" si="6"/>
        <v>303</v>
      </c>
      <c r="O539" s="2">
        <f>IF(Sheet1!$H539="ted",1,0)</f>
        <v>0</v>
      </c>
    </row>
    <row r="540" spans="1:15" ht="15.75" customHeight="1" x14ac:dyDescent="0.2">
      <c r="A540" s="11">
        <v>45002</v>
      </c>
      <c r="B540" s="12">
        <f t="shared" si="5"/>
        <v>539</v>
      </c>
      <c r="C540" s="10" t="s">
        <v>87</v>
      </c>
      <c r="D540" s="10" t="s">
        <v>57</v>
      </c>
      <c r="E540" s="10">
        <v>1</v>
      </c>
      <c r="F540" s="10" t="s">
        <v>3</v>
      </c>
      <c r="G540" s="10">
        <v>1</v>
      </c>
      <c r="H540" s="10" t="s">
        <v>8</v>
      </c>
      <c r="I540" s="10">
        <v>0</v>
      </c>
      <c r="K540" s="2">
        <v>0.5</v>
      </c>
      <c r="L540" s="13">
        <f t="shared" si="7"/>
        <v>0.55555555555555558</v>
      </c>
      <c r="M540" s="13">
        <f>N540/Sheet1!$B540</f>
        <v>0.56400742115027824</v>
      </c>
      <c r="N540" s="2">
        <f t="shared" si="6"/>
        <v>304</v>
      </c>
      <c r="O540" s="2">
        <f>IF(Sheet1!$H540="ted",1,0)</f>
        <v>1</v>
      </c>
    </row>
    <row r="541" spans="1:15" ht="15.75" customHeight="1" x14ac:dyDescent="0.2">
      <c r="A541" s="11">
        <v>45006</v>
      </c>
      <c r="B541" s="12">
        <f t="shared" si="5"/>
        <v>540</v>
      </c>
      <c r="C541" s="10" t="s">
        <v>102</v>
      </c>
      <c r="D541" s="10" t="s">
        <v>111</v>
      </c>
      <c r="E541" s="10">
        <v>0</v>
      </c>
      <c r="F541" s="10" t="s">
        <v>3</v>
      </c>
      <c r="G541" s="10">
        <v>3</v>
      </c>
      <c r="H541" s="10" t="s">
        <v>111</v>
      </c>
      <c r="I541" s="10">
        <v>0</v>
      </c>
      <c r="K541" s="2">
        <v>0.5</v>
      </c>
      <c r="L541" s="13">
        <f t="shared" si="7"/>
        <v>0.55555555555555558</v>
      </c>
      <c r="M541" s="13">
        <f>N541/Sheet1!$B541</f>
        <v>0.562962962962963</v>
      </c>
      <c r="N541" s="2">
        <f t="shared" si="6"/>
        <v>304</v>
      </c>
      <c r="O541" s="2">
        <f>IF(Sheet1!$H541="ted",1,0)</f>
        <v>0</v>
      </c>
    </row>
    <row r="542" spans="1:15" ht="15.75" customHeight="1" x14ac:dyDescent="0.2">
      <c r="A542" s="11">
        <v>45006</v>
      </c>
      <c r="B542" s="12">
        <f t="shared" si="5"/>
        <v>541</v>
      </c>
      <c r="C542" s="10" t="s">
        <v>102</v>
      </c>
      <c r="D542" s="10" t="s">
        <v>59</v>
      </c>
      <c r="E542" s="10">
        <v>0</v>
      </c>
      <c r="F542" s="10" t="s">
        <v>3</v>
      </c>
      <c r="G542" s="10">
        <v>4</v>
      </c>
      <c r="H542" s="10" t="s">
        <v>59</v>
      </c>
      <c r="I542" s="10">
        <v>0</v>
      </c>
      <c r="K542" s="2">
        <v>0.5</v>
      </c>
      <c r="L542" s="13">
        <f t="shared" si="7"/>
        <v>0.44444444444444442</v>
      </c>
      <c r="M542" s="13">
        <f>N542/Sheet1!$B542</f>
        <v>0.56192236598890943</v>
      </c>
      <c r="N542" s="2">
        <f t="shared" si="6"/>
        <v>304</v>
      </c>
      <c r="O542" s="2">
        <f>IF(Sheet1!$H542="ted",1,0)</f>
        <v>0</v>
      </c>
    </row>
    <row r="543" spans="1:15" ht="15.75" customHeight="1" x14ac:dyDescent="0.2">
      <c r="A543" s="11">
        <v>45006</v>
      </c>
      <c r="B543" s="12">
        <f t="shared" si="5"/>
        <v>542</v>
      </c>
      <c r="C543" s="10" t="s">
        <v>102</v>
      </c>
      <c r="D543" s="10" t="s">
        <v>112</v>
      </c>
      <c r="E543" s="10">
        <v>1</v>
      </c>
      <c r="F543" s="10" t="s">
        <v>3</v>
      </c>
      <c r="G543" s="10">
        <v>0</v>
      </c>
      <c r="H543" s="10" t="s">
        <v>8</v>
      </c>
      <c r="I543" s="10">
        <v>0</v>
      </c>
      <c r="K543" s="2">
        <v>0.5</v>
      </c>
      <c r="L543" s="13">
        <f t="shared" si="7"/>
        <v>0.55555555555555558</v>
      </c>
      <c r="M543" s="13">
        <f>N543/Sheet1!$B543</f>
        <v>0.5627306273062731</v>
      </c>
      <c r="N543" s="2">
        <f t="shared" si="6"/>
        <v>305</v>
      </c>
      <c r="O543" s="2">
        <f>IF(Sheet1!$H543="ted",1,0)</f>
        <v>1</v>
      </c>
    </row>
    <row r="544" spans="1:15" ht="15.75" customHeight="1" x14ac:dyDescent="0.2">
      <c r="A544" s="11">
        <v>45006</v>
      </c>
      <c r="B544" s="12">
        <f t="shared" si="5"/>
        <v>543</v>
      </c>
      <c r="C544" s="10" t="s">
        <v>102</v>
      </c>
      <c r="D544" s="10" t="s">
        <v>111</v>
      </c>
      <c r="E544" s="10">
        <v>0</v>
      </c>
      <c r="F544" s="10" t="s">
        <v>3</v>
      </c>
      <c r="G544" s="10">
        <v>0</v>
      </c>
      <c r="H544" s="10" t="s">
        <v>8</v>
      </c>
      <c r="I544" s="10">
        <v>0</v>
      </c>
      <c r="K544" s="2">
        <v>0.5</v>
      </c>
      <c r="L544" s="13">
        <f t="shared" si="7"/>
        <v>0.55555555555555558</v>
      </c>
      <c r="M544" s="13">
        <f>N544/Sheet1!$B544</f>
        <v>0.56169429097605894</v>
      </c>
      <c r="N544" s="2">
        <f t="shared" si="6"/>
        <v>305</v>
      </c>
      <c r="O544" s="2">
        <f>IF(Sheet1!$H544="ted",1,0)</f>
        <v>1</v>
      </c>
    </row>
    <row r="545" spans="1:15" ht="15.75" customHeight="1" x14ac:dyDescent="0.2">
      <c r="A545" s="11">
        <v>45013</v>
      </c>
      <c r="B545" s="12">
        <f t="shared" si="5"/>
        <v>544</v>
      </c>
      <c r="C545" s="10" t="s">
        <v>102</v>
      </c>
      <c r="D545" s="10" t="s">
        <v>91</v>
      </c>
      <c r="E545" s="10">
        <v>1</v>
      </c>
      <c r="F545" s="10" t="s">
        <v>3</v>
      </c>
      <c r="G545" s="10">
        <v>2</v>
      </c>
      <c r="H545" s="10" t="s">
        <v>91</v>
      </c>
      <c r="I545" s="10">
        <v>0</v>
      </c>
      <c r="K545" s="2">
        <v>0.5</v>
      </c>
      <c r="L545" s="13">
        <f t="shared" si="7"/>
        <v>0.55555555555555558</v>
      </c>
      <c r="M545" s="13">
        <f>N545/Sheet1!$B545</f>
        <v>0.5625</v>
      </c>
      <c r="N545" s="2">
        <f t="shared" si="6"/>
        <v>306</v>
      </c>
      <c r="O545" s="2">
        <f>IF(Sheet1!$H545="ted",1,0)</f>
        <v>0</v>
      </c>
    </row>
    <row r="546" spans="1:15" ht="15.75" customHeight="1" x14ac:dyDescent="0.2">
      <c r="A546" s="11">
        <v>45013</v>
      </c>
      <c r="B546" s="12">
        <f t="shared" si="5"/>
        <v>545</v>
      </c>
      <c r="C546" s="10" t="s">
        <v>102</v>
      </c>
      <c r="D546" s="10" t="s">
        <v>59</v>
      </c>
      <c r="E546" s="10">
        <v>1</v>
      </c>
      <c r="F546" s="10" t="s">
        <v>3</v>
      </c>
      <c r="G546" s="10">
        <v>4</v>
      </c>
      <c r="H546" s="10" t="s">
        <v>8</v>
      </c>
      <c r="I546" s="10">
        <v>0</v>
      </c>
      <c r="K546" s="2">
        <v>0.5</v>
      </c>
      <c r="L546" s="13">
        <f t="shared" si="7"/>
        <v>0.55555555555555558</v>
      </c>
      <c r="M546" s="13">
        <f>N546/Sheet1!$B546</f>
        <v>0.56330275229357796</v>
      </c>
      <c r="N546" s="2">
        <f t="shared" si="6"/>
        <v>307</v>
      </c>
      <c r="O546" s="2">
        <f>IF(Sheet1!$H546="ted",1,0)</f>
        <v>1</v>
      </c>
    </row>
    <row r="547" spans="1:15" ht="15.75" customHeight="1" x14ac:dyDescent="0.2">
      <c r="A547" s="11">
        <v>45013</v>
      </c>
      <c r="B547" s="12">
        <f t="shared" si="5"/>
        <v>546</v>
      </c>
      <c r="C547" s="10" t="s">
        <v>102</v>
      </c>
      <c r="D547" s="10" t="s">
        <v>91</v>
      </c>
      <c r="E547" s="10">
        <v>1</v>
      </c>
      <c r="F547" s="10" t="s">
        <v>3</v>
      </c>
      <c r="G547" s="10">
        <v>2</v>
      </c>
      <c r="H547" s="10" t="s">
        <v>8</v>
      </c>
      <c r="I547" s="10">
        <v>0</v>
      </c>
      <c r="K547" s="2">
        <v>0.5</v>
      </c>
      <c r="L547" s="13">
        <f t="shared" si="7"/>
        <v>0.66666666666666663</v>
      </c>
      <c r="M547" s="13">
        <f>N547/Sheet1!$B547</f>
        <v>0.5641025641025641</v>
      </c>
      <c r="N547" s="2">
        <f t="shared" si="6"/>
        <v>308</v>
      </c>
      <c r="O547" s="2">
        <f>IF(Sheet1!$H547="ted",1,0)</f>
        <v>1</v>
      </c>
    </row>
    <row r="548" spans="1:15" ht="15.75" customHeight="1" x14ac:dyDescent="0.2">
      <c r="A548" s="11">
        <v>45013</v>
      </c>
      <c r="B548" s="12">
        <f t="shared" si="5"/>
        <v>547</v>
      </c>
      <c r="C548" s="10" t="s">
        <v>102</v>
      </c>
      <c r="D548" s="10" t="s">
        <v>111</v>
      </c>
      <c r="E548" s="10">
        <v>0</v>
      </c>
      <c r="F548" s="10" t="s">
        <v>3</v>
      </c>
      <c r="G548" s="10">
        <v>2</v>
      </c>
      <c r="H548" s="10" t="s">
        <v>8</v>
      </c>
      <c r="I548" s="10">
        <v>0</v>
      </c>
      <c r="K548" s="2">
        <v>0.5</v>
      </c>
      <c r="L548" s="13">
        <f t="shared" si="7"/>
        <v>0.55555555555555558</v>
      </c>
      <c r="M548" s="13">
        <f>N548/Sheet1!$B548</f>
        <v>0.56307129798903111</v>
      </c>
      <c r="N548" s="2">
        <f t="shared" si="6"/>
        <v>308</v>
      </c>
      <c r="O548" s="2">
        <f>IF(Sheet1!$H548="ted",1,0)</f>
        <v>1</v>
      </c>
    </row>
    <row r="549" spans="1:15" ht="15.75" customHeight="1" x14ac:dyDescent="0.2">
      <c r="A549" s="15">
        <v>45020</v>
      </c>
      <c r="B549" s="12">
        <f t="shared" si="5"/>
        <v>548</v>
      </c>
      <c r="C549" s="10" t="s">
        <v>102</v>
      </c>
      <c r="D549" s="10" t="s">
        <v>59</v>
      </c>
      <c r="E549">
        <v>1</v>
      </c>
      <c r="F549" t="s">
        <v>3</v>
      </c>
      <c r="G549">
        <v>0</v>
      </c>
      <c r="H549" t="s">
        <v>8</v>
      </c>
      <c r="I549">
        <v>0</v>
      </c>
    </row>
    <row r="550" spans="1:15" ht="15.75" customHeight="1" x14ac:dyDescent="0.2">
      <c r="A550" s="17">
        <v>45083</v>
      </c>
      <c r="B550" s="12">
        <f t="shared" si="5"/>
        <v>549</v>
      </c>
      <c r="C550" t="s">
        <v>102</v>
      </c>
      <c r="D550" t="s">
        <v>59</v>
      </c>
      <c r="E550">
        <v>0</v>
      </c>
      <c r="F550" t="s">
        <v>3</v>
      </c>
      <c r="G550">
        <v>0</v>
      </c>
      <c r="H550" t="s">
        <v>8</v>
      </c>
      <c r="I550">
        <v>0</v>
      </c>
    </row>
    <row r="551" spans="1:15" ht="15.75" customHeight="1" x14ac:dyDescent="0.2">
      <c r="A551" s="17">
        <v>45083</v>
      </c>
      <c r="B551" s="12">
        <f t="shared" si="5"/>
        <v>550</v>
      </c>
      <c r="C551" t="s">
        <v>102</v>
      </c>
      <c r="D551" t="s">
        <v>59</v>
      </c>
      <c r="E551">
        <v>1</v>
      </c>
      <c r="F551" t="s">
        <v>4</v>
      </c>
      <c r="G551">
        <v>0</v>
      </c>
      <c r="H551" t="s">
        <v>59</v>
      </c>
      <c r="I551">
        <v>2</v>
      </c>
    </row>
    <row r="552" spans="1:15" ht="15.75" customHeight="1" x14ac:dyDescent="0.2">
      <c r="A552" s="17">
        <v>45083</v>
      </c>
      <c r="B552" s="12">
        <f t="shared" si="5"/>
        <v>551</v>
      </c>
      <c r="C552" t="s">
        <v>102</v>
      </c>
      <c r="D552" t="s">
        <v>59</v>
      </c>
      <c r="E552">
        <v>1</v>
      </c>
      <c r="F552" t="s">
        <v>3</v>
      </c>
      <c r="G552">
        <v>1</v>
      </c>
      <c r="H552" t="s">
        <v>8</v>
      </c>
      <c r="I552">
        <v>0</v>
      </c>
    </row>
    <row r="553" spans="1:15" ht="15.75" customHeight="1" x14ac:dyDescent="0.2">
      <c r="A553" s="17">
        <v>45083</v>
      </c>
      <c r="B553" s="12">
        <f t="shared" si="5"/>
        <v>552</v>
      </c>
      <c r="C553" t="s">
        <v>102</v>
      </c>
      <c r="D553" t="s">
        <v>59</v>
      </c>
      <c r="E553">
        <v>0</v>
      </c>
      <c r="F553" t="s">
        <v>3</v>
      </c>
      <c r="G553">
        <v>2</v>
      </c>
      <c r="H553" t="s">
        <v>8</v>
      </c>
      <c r="I553">
        <v>0</v>
      </c>
    </row>
    <row r="554" spans="1:15" ht="15.75" customHeight="1" x14ac:dyDescent="0.2">
      <c r="A554" s="17">
        <v>45083</v>
      </c>
      <c r="B554" s="12">
        <f t="shared" si="5"/>
        <v>553</v>
      </c>
      <c r="C554" t="s">
        <v>102</v>
      </c>
      <c r="D554" t="s">
        <v>59</v>
      </c>
      <c r="E554">
        <v>0</v>
      </c>
      <c r="F554" t="s">
        <v>3</v>
      </c>
      <c r="G554">
        <v>3</v>
      </c>
      <c r="H554" t="s">
        <v>59</v>
      </c>
      <c r="I554">
        <v>0</v>
      </c>
    </row>
    <row r="555" spans="1:15" ht="15.75" customHeight="1" x14ac:dyDescent="0.2">
      <c r="A555" s="17">
        <v>45087</v>
      </c>
      <c r="B555" s="12">
        <f t="shared" si="5"/>
        <v>554</v>
      </c>
      <c r="C555" t="s">
        <v>87</v>
      </c>
      <c r="D555" t="s">
        <v>60</v>
      </c>
      <c r="E555">
        <v>1</v>
      </c>
      <c r="F555" t="s">
        <v>3</v>
      </c>
      <c r="G555">
        <v>0</v>
      </c>
      <c r="H555" t="s">
        <v>60</v>
      </c>
      <c r="I555">
        <v>0</v>
      </c>
    </row>
    <row r="556" spans="1:15" ht="15.75" customHeight="1" x14ac:dyDescent="0.2">
      <c r="A556" s="17">
        <v>45087</v>
      </c>
      <c r="B556" s="12">
        <f t="shared" si="5"/>
        <v>555</v>
      </c>
      <c r="C556" t="s">
        <v>87</v>
      </c>
      <c r="D556" t="s">
        <v>60</v>
      </c>
      <c r="E556">
        <v>1</v>
      </c>
      <c r="F556" t="s">
        <v>3</v>
      </c>
      <c r="G556">
        <v>3</v>
      </c>
      <c r="H556" t="s">
        <v>8</v>
      </c>
      <c r="I556">
        <v>0</v>
      </c>
    </row>
    <row r="557" spans="1:15" ht="15.75" customHeight="1" x14ac:dyDescent="0.2">
      <c r="A557" s="17">
        <v>45087</v>
      </c>
      <c r="B557" s="12">
        <f t="shared" si="5"/>
        <v>556</v>
      </c>
      <c r="C557" t="s">
        <v>87</v>
      </c>
      <c r="D557" t="s">
        <v>59</v>
      </c>
      <c r="E557">
        <v>0</v>
      </c>
      <c r="F557" t="s">
        <v>3</v>
      </c>
      <c r="G557">
        <v>0</v>
      </c>
      <c r="H557" t="s">
        <v>8</v>
      </c>
      <c r="I557">
        <v>0</v>
      </c>
    </row>
    <row r="558" spans="1:15" ht="15.75" customHeight="1" x14ac:dyDescent="0.2">
      <c r="A558" s="17">
        <v>45087</v>
      </c>
      <c r="B558" s="12">
        <f t="shared" si="5"/>
        <v>557</v>
      </c>
      <c r="C558" t="s">
        <v>87</v>
      </c>
      <c r="D558" t="s">
        <v>60</v>
      </c>
      <c r="E558">
        <v>0</v>
      </c>
      <c r="F558" t="s">
        <v>3</v>
      </c>
      <c r="G558">
        <v>1</v>
      </c>
      <c r="H558" t="s">
        <v>60</v>
      </c>
      <c r="I558">
        <v>0</v>
      </c>
    </row>
    <row r="559" spans="1:15" ht="15.75" customHeight="1" x14ac:dyDescent="0.2">
      <c r="A559" s="17">
        <v>45087</v>
      </c>
      <c r="B559" s="12">
        <f t="shared" si="5"/>
        <v>558</v>
      </c>
      <c r="C559" t="s">
        <v>87</v>
      </c>
      <c r="D559" t="s">
        <v>60</v>
      </c>
      <c r="E559">
        <v>0</v>
      </c>
      <c r="F559" t="s">
        <v>3</v>
      </c>
      <c r="G559">
        <v>0</v>
      </c>
      <c r="H559" t="s">
        <v>60</v>
      </c>
      <c r="I559">
        <v>0</v>
      </c>
    </row>
    <row r="560" spans="1:15" ht="15.75" customHeight="1" x14ac:dyDescent="0.2">
      <c r="A560" s="17">
        <v>45087</v>
      </c>
      <c r="B560" s="12">
        <f t="shared" si="5"/>
        <v>559</v>
      </c>
      <c r="C560" t="s">
        <v>87</v>
      </c>
      <c r="D560" t="s">
        <v>60</v>
      </c>
      <c r="E560">
        <v>1</v>
      </c>
      <c r="F560" t="s">
        <v>3</v>
      </c>
      <c r="G560">
        <v>2</v>
      </c>
      <c r="H560" t="s">
        <v>60</v>
      </c>
      <c r="I560">
        <v>0</v>
      </c>
    </row>
    <row r="561" spans="1:9" ht="15.75" customHeight="1" x14ac:dyDescent="0.2">
      <c r="A561" s="17">
        <v>45087</v>
      </c>
      <c r="B561" s="12">
        <f t="shared" si="5"/>
        <v>560</v>
      </c>
      <c r="C561" t="s">
        <v>87</v>
      </c>
      <c r="D561" t="s">
        <v>60</v>
      </c>
      <c r="E561">
        <v>1</v>
      </c>
      <c r="F561" t="s">
        <v>3</v>
      </c>
      <c r="G561">
        <v>2</v>
      </c>
      <c r="H561" t="s">
        <v>8</v>
      </c>
      <c r="I561">
        <v>0</v>
      </c>
    </row>
    <row r="562" spans="1:9" ht="15.75" customHeight="1" x14ac:dyDescent="0.2">
      <c r="A562" s="17">
        <v>45125</v>
      </c>
      <c r="B562" s="12">
        <f t="shared" si="5"/>
        <v>561</v>
      </c>
      <c r="C562" t="s">
        <v>102</v>
      </c>
      <c r="D562" t="s">
        <v>60</v>
      </c>
      <c r="E562">
        <v>1</v>
      </c>
      <c r="F562" t="s">
        <v>3</v>
      </c>
      <c r="G562">
        <v>2</v>
      </c>
      <c r="H562" t="s">
        <v>8</v>
      </c>
      <c r="I562">
        <v>0</v>
      </c>
    </row>
    <row r="563" spans="1:9" ht="15.75" customHeight="1" x14ac:dyDescent="0.2">
      <c r="A563" s="17">
        <v>45132</v>
      </c>
      <c r="B563" s="12">
        <f t="shared" si="5"/>
        <v>562</v>
      </c>
      <c r="C563" t="s">
        <v>102</v>
      </c>
      <c r="D563" t="s">
        <v>117</v>
      </c>
      <c r="E563">
        <v>1</v>
      </c>
      <c r="F563" t="s">
        <v>3</v>
      </c>
      <c r="G563">
        <v>1</v>
      </c>
      <c r="H563" t="s">
        <v>117</v>
      </c>
      <c r="I563">
        <v>0</v>
      </c>
    </row>
    <row r="564" spans="1:9" ht="15.75" customHeight="1" x14ac:dyDescent="0.2">
      <c r="A564" s="17">
        <v>45132</v>
      </c>
      <c r="B564" s="12">
        <f t="shared" si="5"/>
        <v>563</v>
      </c>
      <c r="C564" t="s">
        <v>102</v>
      </c>
      <c r="D564" t="s">
        <v>117</v>
      </c>
      <c r="E564">
        <v>1</v>
      </c>
      <c r="F564" t="s">
        <v>3</v>
      </c>
      <c r="G564">
        <v>3</v>
      </c>
      <c r="H564" t="s">
        <v>8</v>
      </c>
      <c r="I564">
        <v>0</v>
      </c>
    </row>
    <row r="565" spans="1:9" ht="15.75" customHeight="1" x14ac:dyDescent="0.2">
      <c r="A565" s="17">
        <v>45132</v>
      </c>
      <c r="B565" s="12">
        <f t="shared" si="5"/>
        <v>564</v>
      </c>
      <c r="C565" t="s">
        <v>102</v>
      </c>
      <c r="D565" t="s">
        <v>117</v>
      </c>
      <c r="E565">
        <v>1</v>
      </c>
      <c r="F565" t="s">
        <v>3</v>
      </c>
      <c r="G565">
        <v>0</v>
      </c>
      <c r="H565" t="s">
        <v>8</v>
      </c>
      <c r="I565">
        <v>0</v>
      </c>
    </row>
    <row r="566" spans="1:9" ht="15.75" customHeight="1" x14ac:dyDescent="0.2">
      <c r="A566" s="17">
        <v>45132</v>
      </c>
      <c r="B566" s="12">
        <f t="shared" si="5"/>
        <v>565</v>
      </c>
      <c r="C566" t="s">
        <v>102</v>
      </c>
      <c r="D566" t="s">
        <v>57</v>
      </c>
      <c r="E566">
        <v>1</v>
      </c>
      <c r="F566" t="s">
        <v>3</v>
      </c>
      <c r="G566">
        <v>1</v>
      </c>
      <c r="H566" t="s">
        <v>57</v>
      </c>
      <c r="I566">
        <v>0</v>
      </c>
    </row>
    <row r="567" spans="1:9" ht="15.75" customHeight="1" x14ac:dyDescent="0.2">
      <c r="A567" s="17">
        <v>45132</v>
      </c>
      <c r="B567" s="12">
        <f t="shared" si="5"/>
        <v>566</v>
      </c>
      <c r="C567" t="s">
        <v>102</v>
      </c>
      <c r="D567" t="s">
        <v>90</v>
      </c>
      <c r="E567">
        <v>1</v>
      </c>
      <c r="F567" t="s">
        <v>3</v>
      </c>
      <c r="G567">
        <v>1</v>
      </c>
      <c r="H567" t="s">
        <v>8</v>
      </c>
      <c r="I567">
        <v>0</v>
      </c>
    </row>
    <row r="568" spans="1:9" ht="15.75" customHeight="1" x14ac:dyDescent="0.2">
      <c r="A568" s="17">
        <v>45132</v>
      </c>
      <c r="B568" s="12">
        <f t="shared" si="5"/>
        <v>567</v>
      </c>
      <c r="C568" t="s">
        <v>102</v>
      </c>
      <c r="D568" t="s">
        <v>90</v>
      </c>
      <c r="E568">
        <v>1</v>
      </c>
      <c r="F568" t="s">
        <v>3</v>
      </c>
      <c r="G568">
        <v>1</v>
      </c>
      <c r="H568" t="s">
        <v>8</v>
      </c>
      <c r="I568">
        <v>0</v>
      </c>
    </row>
    <row r="569" spans="1:9" ht="15.75" customHeight="1" x14ac:dyDescent="0.2">
      <c r="A569" s="17">
        <v>45132</v>
      </c>
      <c r="B569" s="12">
        <f t="shared" si="5"/>
        <v>568</v>
      </c>
      <c r="C569" t="s">
        <v>102</v>
      </c>
      <c r="D569" t="s">
        <v>60</v>
      </c>
      <c r="E569">
        <v>1</v>
      </c>
      <c r="F569" t="s">
        <v>4</v>
      </c>
      <c r="G569">
        <v>0</v>
      </c>
      <c r="H569" t="s">
        <v>8</v>
      </c>
      <c r="I569">
        <v>4</v>
      </c>
    </row>
    <row r="570" spans="1:9" ht="15.75" customHeight="1" x14ac:dyDescent="0.2">
      <c r="A570" s="17">
        <v>45132</v>
      </c>
      <c r="B570" s="12">
        <f t="shared" si="5"/>
        <v>569</v>
      </c>
      <c r="C570" t="s">
        <v>102</v>
      </c>
      <c r="D570" t="s">
        <v>59</v>
      </c>
      <c r="E570">
        <v>1</v>
      </c>
      <c r="F570" t="s">
        <v>3</v>
      </c>
      <c r="G570">
        <v>3</v>
      </c>
      <c r="H570" t="s">
        <v>8</v>
      </c>
      <c r="I570">
        <v>0</v>
      </c>
    </row>
    <row r="571" spans="1:9" ht="15.75" customHeight="1" x14ac:dyDescent="0.2">
      <c r="A571" s="17">
        <v>45132</v>
      </c>
      <c r="B571" s="12">
        <f t="shared" si="5"/>
        <v>570</v>
      </c>
      <c r="C571" t="s">
        <v>102</v>
      </c>
      <c r="D571" t="s">
        <v>60</v>
      </c>
      <c r="E571">
        <v>0</v>
      </c>
      <c r="F571" t="s">
        <v>3</v>
      </c>
      <c r="G571">
        <v>0</v>
      </c>
      <c r="H571" t="s">
        <v>8</v>
      </c>
      <c r="I571">
        <v>0</v>
      </c>
    </row>
    <row r="572" spans="1:9" ht="15.75" customHeight="1" x14ac:dyDescent="0.2">
      <c r="A572" s="17">
        <v>45132</v>
      </c>
      <c r="B572" s="12">
        <f t="shared" si="5"/>
        <v>571</v>
      </c>
      <c r="C572" t="s">
        <v>102</v>
      </c>
      <c r="D572" t="s">
        <v>91</v>
      </c>
      <c r="E572">
        <v>1</v>
      </c>
      <c r="F572" t="s">
        <v>3</v>
      </c>
      <c r="G572">
        <v>3</v>
      </c>
      <c r="H572" t="s">
        <v>91</v>
      </c>
      <c r="I572">
        <v>0</v>
      </c>
    </row>
    <row r="573" spans="1:9" ht="15.75" customHeight="1" x14ac:dyDescent="0.2">
      <c r="A573" s="17">
        <v>45132</v>
      </c>
      <c r="B573" s="12">
        <f t="shared" si="5"/>
        <v>572</v>
      </c>
      <c r="C573" t="s">
        <v>102</v>
      </c>
      <c r="D573" t="s">
        <v>91</v>
      </c>
      <c r="E573">
        <v>0</v>
      </c>
      <c r="F573" t="s">
        <v>3</v>
      </c>
      <c r="G573">
        <v>4</v>
      </c>
      <c r="H573" t="s">
        <v>8</v>
      </c>
      <c r="I573">
        <v>0</v>
      </c>
    </row>
    <row r="574" spans="1:9" ht="15.75" customHeight="1" x14ac:dyDescent="0.2">
      <c r="A574" s="17">
        <v>45132</v>
      </c>
      <c r="B574" s="12">
        <f t="shared" si="5"/>
        <v>573</v>
      </c>
      <c r="C574" t="s">
        <v>102</v>
      </c>
      <c r="D574" t="s">
        <v>91</v>
      </c>
      <c r="E574">
        <v>1</v>
      </c>
      <c r="F574" t="s">
        <v>2</v>
      </c>
      <c r="G574">
        <v>5</v>
      </c>
      <c r="H574" t="s">
        <v>91</v>
      </c>
      <c r="I574">
        <v>0</v>
      </c>
    </row>
    <row r="575" spans="1:9" ht="15.75" customHeight="1" x14ac:dyDescent="0.2">
      <c r="A575" s="17">
        <v>45135</v>
      </c>
      <c r="B575" s="12">
        <f t="shared" si="5"/>
        <v>574</v>
      </c>
      <c r="C575" t="s">
        <v>87</v>
      </c>
      <c r="D575" t="s">
        <v>60</v>
      </c>
      <c r="E575">
        <v>1</v>
      </c>
      <c r="F575" t="s">
        <v>3</v>
      </c>
      <c r="G575">
        <v>4</v>
      </c>
      <c r="H575" t="s">
        <v>60</v>
      </c>
      <c r="I575">
        <v>0</v>
      </c>
    </row>
    <row r="576" spans="1:9" ht="15.75" customHeight="1" x14ac:dyDescent="0.2">
      <c r="A576" s="17">
        <v>45135</v>
      </c>
      <c r="B576" s="12">
        <f t="shared" si="5"/>
        <v>575</v>
      </c>
      <c r="C576" t="s">
        <v>87</v>
      </c>
      <c r="D576" t="s">
        <v>59</v>
      </c>
      <c r="E576">
        <v>1</v>
      </c>
      <c r="F576" t="s">
        <v>3</v>
      </c>
      <c r="G576">
        <v>6</v>
      </c>
      <c r="H576" t="s">
        <v>8</v>
      </c>
      <c r="I576">
        <v>0</v>
      </c>
    </row>
    <row r="577" spans="1:9" ht="15.75" customHeight="1" x14ac:dyDescent="0.2">
      <c r="A577" s="17">
        <v>45135</v>
      </c>
      <c r="B577" s="12">
        <f t="shared" si="5"/>
        <v>576</v>
      </c>
      <c r="C577" t="s">
        <v>87</v>
      </c>
      <c r="D577" t="s">
        <v>60</v>
      </c>
      <c r="E577">
        <v>0</v>
      </c>
      <c r="F577" t="s">
        <v>3</v>
      </c>
      <c r="G577">
        <v>1</v>
      </c>
      <c r="H577" t="s">
        <v>8</v>
      </c>
      <c r="I577">
        <v>0</v>
      </c>
    </row>
    <row r="578" spans="1:9" ht="15.75" customHeight="1" x14ac:dyDescent="0.2">
      <c r="A578" s="17">
        <v>45135</v>
      </c>
      <c r="B578" s="12">
        <f t="shared" si="5"/>
        <v>577</v>
      </c>
      <c r="C578" t="s">
        <v>87</v>
      </c>
      <c r="D578" t="s">
        <v>60</v>
      </c>
      <c r="E578">
        <v>1</v>
      </c>
      <c r="F578" t="s">
        <v>3</v>
      </c>
      <c r="G578">
        <v>6</v>
      </c>
      <c r="H578" t="s">
        <v>60</v>
      </c>
      <c r="I578">
        <v>0</v>
      </c>
    </row>
    <row r="579" spans="1:9" ht="15.75" customHeight="1" x14ac:dyDescent="0.2">
      <c r="A579" s="17">
        <v>45135</v>
      </c>
      <c r="B579" s="12">
        <f t="shared" si="5"/>
        <v>578</v>
      </c>
      <c r="C579" t="s">
        <v>87</v>
      </c>
      <c r="D579" t="s">
        <v>59</v>
      </c>
      <c r="E579">
        <v>0</v>
      </c>
      <c r="F579" t="s">
        <v>3</v>
      </c>
      <c r="G579">
        <v>3</v>
      </c>
      <c r="H579" t="s">
        <v>8</v>
      </c>
      <c r="I579">
        <v>0</v>
      </c>
    </row>
    <row r="580" spans="1:9" ht="15.75" customHeight="1" x14ac:dyDescent="0.2">
      <c r="A580" s="17">
        <v>45135</v>
      </c>
      <c r="B580" s="12">
        <f t="shared" si="5"/>
        <v>579</v>
      </c>
      <c r="C580" t="s">
        <v>87</v>
      </c>
      <c r="D580" t="s">
        <v>59</v>
      </c>
      <c r="E580">
        <v>1</v>
      </c>
      <c r="F580" t="s">
        <v>3</v>
      </c>
      <c r="G580">
        <v>2</v>
      </c>
      <c r="H580" t="s">
        <v>59</v>
      </c>
      <c r="I580">
        <v>0</v>
      </c>
    </row>
    <row r="581" spans="1:9" ht="15.75" customHeight="1" x14ac:dyDescent="0.2">
      <c r="A581" s="17">
        <v>45135</v>
      </c>
      <c r="B581" s="12">
        <f t="shared" si="5"/>
        <v>580</v>
      </c>
      <c r="C581" t="s">
        <v>87</v>
      </c>
      <c r="D581" t="s">
        <v>60</v>
      </c>
      <c r="E581">
        <v>0</v>
      </c>
      <c r="F581" t="s">
        <v>3</v>
      </c>
      <c r="G581">
        <v>1</v>
      </c>
      <c r="H581" t="s">
        <v>8</v>
      </c>
      <c r="I581">
        <v>0</v>
      </c>
    </row>
    <row r="582" spans="1:9" ht="15.75" customHeight="1" x14ac:dyDescent="0.2">
      <c r="A582" s="17">
        <v>45172</v>
      </c>
      <c r="B582" s="12">
        <f t="shared" si="5"/>
        <v>581</v>
      </c>
      <c r="C582" t="s">
        <v>87</v>
      </c>
      <c r="D582" t="s">
        <v>57</v>
      </c>
      <c r="E582">
        <v>0</v>
      </c>
      <c r="F582" t="s">
        <v>4</v>
      </c>
      <c r="G582">
        <v>0</v>
      </c>
      <c r="H582" t="s">
        <v>57</v>
      </c>
      <c r="I582">
        <v>5</v>
      </c>
    </row>
    <row r="583" spans="1:9" ht="15.75" customHeight="1" x14ac:dyDescent="0.2">
      <c r="A583" s="17">
        <v>45172</v>
      </c>
      <c r="B583" s="12">
        <f t="shared" si="5"/>
        <v>582</v>
      </c>
      <c r="C583" t="s">
        <v>87</v>
      </c>
      <c r="D583" t="s">
        <v>59</v>
      </c>
      <c r="E583">
        <v>1</v>
      </c>
      <c r="F583" t="s">
        <v>3</v>
      </c>
      <c r="G583">
        <v>0</v>
      </c>
      <c r="H583" t="s">
        <v>59</v>
      </c>
      <c r="I583">
        <v>0</v>
      </c>
    </row>
    <row r="584" spans="1:9" ht="15.75" customHeight="1" x14ac:dyDescent="0.2">
      <c r="A584" s="17">
        <v>45172</v>
      </c>
      <c r="B584" s="12">
        <f t="shared" si="5"/>
        <v>583</v>
      </c>
      <c r="C584" t="s">
        <v>87</v>
      </c>
      <c r="D584" t="s">
        <v>60</v>
      </c>
      <c r="E584">
        <v>1</v>
      </c>
      <c r="F584" t="s">
        <v>3</v>
      </c>
      <c r="G584">
        <v>0</v>
      </c>
      <c r="H584" t="s">
        <v>8</v>
      </c>
      <c r="I584">
        <v>0</v>
      </c>
    </row>
    <row r="585" spans="1:9" ht="15.75" customHeight="1" x14ac:dyDescent="0.2">
      <c r="A585" s="17">
        <v>45172</v>
      </c>
      <c r="B585" s="12">
        <f t="shared" si="5"/>
        <v>584</v>
      </c>
      <c r="C585" t="s">
        <v>87</v>
      </c>
      <c r="D585" t="s">
        <v>57</v>
      </c>
      <c r="E585">
        <v>0</v>
      </c>
      <c r="F585" t="s">
        <v>3</v>
      </c>
      <c r="G585">
        <v>1</v>
      </c>
      <c r="H585" t="s">
        <v>57</v>
      </c>
      <c r="I585">
        <v>0</v>
      </c>
    </row>
    <row r="586" spans="1:9" ht="15.75" customHeight="1" x14ac:dyDescent="0.2">
      <c r="A586" s="17">
        <v>45172</v>
      </c>
      <c r="B586" s="12">
        <f t="shared" si="5"/>
        <v>585</v>
      </c>
      <c r="C586" t="s">
        <v>87</v>
      </c>
      <c r="D586" t="s">
        <v>60</v>
      </c>
      <c r="E586">
        <v>1</v>
      </c>
      <c r="F586" t="s">
        <v>4</v>
      </c>
      <c r="G586">
        <v>1</v>
      </c>
      <c r="H586" t="s">
        <v>8</v>
      </c>
      <c r="I586">
        <v>1</v>
      </c>
    </row>
    <row r="587" spans="1:9" ht="15.75" customHeight="1" x14ac:dyDescent="0.2">
      <c r="A587" s="17">
        <v>45172</v>
      </c>
      <c r="B587" s="12">
        <f t="shared" si="5"/>
        <v>586</v>
      </c>
      <c r="C587" t="s">
        <v>87</v>
      </c>
      <c r="D587" t="s">
        <v>59</v>
      </c>
      <c r="E587">
        <v>1</v>
      </c>
      <c r="F587" t="s">
        <v>4</v>
      </c>
      <c r="G587">
        <v>0</v>
      </c>
      <c r="H587" t="s">
        <v>8</v>
      </c>
      <c r="I587">
        <v>1</v>
      </c>
    </row>
    <row r="588" spans="1:9" ht="15.75" customHeight="1" x14ac:dyDescent="0.2">
      <c r="A588" s="17">
        <v>45172</v>
      </c>
      <c r="B588" s="12">
        <f t="shared" si="5"/>
        <v>587</v>
      </c>
      <c r="C588" t="s">
        <v>87</v>
      </c>
      <c r="D588" t="s">
        <v>60</v>
      </c>
      <c r="E588">
        <v>1</v>
      </c>
      <c r="F588" t="s">
        <v>2</v>
      </c>
      <c r="G588">
        <v>4</v>
      </c>
      <c r="H588" t="s">
        <v>60</v>
      </c>
      <c r="I588">
        <v>2</v>
      </c>
    </row>
    <row r="589" spans="1:9" ht="15.75" customHeight="1" x14ac:dyDescent="0.2">
      <c r="A589" s="17">
        <v>45205</v>
      </c>
      <c r="B589" s="12">
        <f t="shared" si="5"/>
        <v>588</v>
      </c>
      <c r="C589" t="s">
        <v>87</v>
      </c>
      <c r="D589" t="s">
        <v>59</v>
      </c>
      <c r="E589">
        <v>0</v>
      </c>
      <c r="F589" t="s">
        <v>3</v>
      </c>
      <c r="G589">
        <v>1</v>
      </c>
      <c r="H589" t="s">
        <v>8</v>
      </c>
      <c r="I589">
        <v>0</v>
      </c>
    </row>
    <row r="590" spans="1:9" ht="15.75" customHeight="1" x14ac:dyDescent="0.2">
      <c r="A590" s="17">
        <v>45226</v>
      </c>
      <c r="B590" s="12">
        <f t="shared" si="5"/>
        <v>589</v>
      </c>
      <c r="C590" t="s">
        <v>87</v>
      </c>
      <c r="D590" t="s">
        <v>59</v>
      </c>
      <c r="E590">
        <v>0</v>
      </c>
      <c r="F590" t="s">
        <v>3</v>
      </c>
      <c r="G590">
        <v>1</v>
      </c>
      <c r="H590" t="s">
        <v>8</v>
      </c>
      <c r="I590">
        <v>0</v>
      </c>
    </row>
    <row r="591" spans="1:9" ht="15.75" customHeight="1" x14ac:dyDescent="0.2">
      <c r="A591" s="17">
        <v>45253</v>
      </c>
      <c r="B591" s="12">
        <f t="shared" si="5"/>
        <v>590</v>
      </c>
      <c r="C591" t="s">
        <v>103</v>
      </c>
      <c r="D591" t="s">
        <v>105</v>
      </c>
      <c r="E591">
        <v>1</v>
      </c>
      <c r="F591" t="s">
        <v>3</v>
      </c>
      <c r="G591">
        <v>0</v>
      </c>
      <c r="H591" t="s">
        <v>8</v>
      </c>
      <c r="I591">
        <v>0</v>
      </c>
    </row>
    <row r="592" spans="1:9" ht="15.75" customHeight="1" x14ac:dyDescent="0.2">
      <c r="A592" s="17">
        <v>45269</v>
      </c>
      <c r="B592" s="12">
        <f t="shared" ref="B592:B613" si="8">B591+1</f>
        <v>591</v>
      </c>
      <c r="C592" t="s">
        <v>118</v>
      </c>
      <c r="D592" t="s">
        <v>119</v>
      </c>
      <c r="E592">
        <v>1</v>
      </c>
      <c r="F592" t="s">
        <v>3</v>
      </c>
      <c r="G592">
        <v>3</v>
      </c>
      <c r="H592" t="s">
        <v>8</v>
      </c>
      <c r="I592">
        <v>0</v>
      </c>
    </row>
    <row r="593" spans="1:9" ht="15.75" customHeight="1" x14ac:dyDescent="0.2">
      <c r="A593" s="17">
        <v>45269</v>
      </c>
      <c r="B593" s="12">
        <f t="shared" si="8"/>
        <v>592</v>
      </c>
      <c r="C593" t="s">
        <v>118</v>
      </c>
      <c r="D593" t="s">
        <v>119</v>
      </c>
      <c r="E593">
        <v>1</v>
      </c>
      <c r="F593" t="s">
        <v>3</v>
      </c>
      <c r="G593">
        <v>3</v>
      </c>
      <c r="H593" t="s">
        <v>8</v>
      </c>
      <c r="I593">
        <v>0</v>
      </c>
    </row>
    <row r="594" spans="1:9" ht="15.75" customHeight="1" x14ac:dyDescent="0.2">
      <c r="A594" s="17">
        <v>45269</v>
      </c>
      <c r="B594" s="12">
        <f t="shared" si="8"/>
        <v>593</v>
      </c>
      <c r="C594" t="s">
        <v>118</v>
      </c>
      <c r="D594" t="s">
        <v>119</v>
      </c>
      <c r="E594">
        <v>1</v>
      </c>
      <c r="F594" t="s">
        <v>3</v>
      </c>
      <c r="G594">
        <v>3</v>
      </c>
      <c r="H594" t="s">
        <v>8</v>
      </c>
      <c r="I594">
        <v>0</v>
      </c>
    </row>
    <row r="595" spans="1:9" ht="15.75" customHeight="1" x14ac:dyDescent="0.2">
      <c r="A595" s="17">
        <v>45269</v>
      </c>
      <c r="B595" s="12">
        <f t="shared" si="8"/>
        <v>594</v>
      </c>
      <c r="C595" t="s">
        <v>118</v>
      </c>
      <c r="D595" t="s">
        <v>119</v>
      </c>
      <c r="E595">
        <v>1</v>
      </c>
      <c r="F595" t="s">
        <v>3</v>
      </c>
      <c r="G595">
        <v>3</v>
      </c>
      <c r="H595" t="s">
        <v>8</v>
      </c>
      <c r="I595">
        <v>0</v>
      </c>
    </row>
    <row r="596" spans="1:9" ht="15.75" customHeight="1" x14ac:dyDescent="0.2">
      <c r="A596" s="17">
        <v>45269</v>
      </c>
      <c r="B596" s="12">
        <f t="shared" si="8"/>
        <v>595</v>
      </c>
      <c r="C596" t="s">
        <v>118</v>
      </c>
      <c r="D596" t="s">
        <v>119</v>
      </c>
      <c r="E596">
        <v>1</v>
      </c>
      <c r="F596" t="s">
        <v>3</v>
      </c>
      <c r="G596">
        <v>1</v>
      </c>
      <c r="H596" t="s">
        <v>8</v>
      </c>
      <c r="I596">
        <v>0</v>
      </c>
    </row>
    <row r="597" spans="1:9" ht="15.75" customHeight="1" x14ac:dyDescent="0.2">
      <c r="A597" s="15">
        <v>45482</v>
      </c>
      <c r="B597" s="12">
        <f t="shared" si="8"/>
        <v>596</v>
      </c>
      <c r="C597" t="s">
        <v>102</v>
      </c>
      <c r="D597" t="s">
        <v>60</v>
      </c>
      <c r="E597">
        <v>0</v>
      </c>
      <c r="F597" t="s">
        <v>3</v>
      </c>
      <c r="G597">
        <v>1</v>
      </c>
      <c r="H597" t="s">
        <v>60</v>
      </c>
      <c r="I597">
        <v>0</v>
      </c>
    </row>
    <row r="598" spans="1:9" ht="15.75" customHeight="1" x14ac:dyDescent="0.2">
      <c r="A598" s="15">
        <v>45510</v>
      </c>
      <c r="B598" s="12">
        <f t="shared" si="8"/>
        <v>597</v>
      </c>
      <c r="C598" t="s">
        <v>102</v>
      </c>
      <c r="D598" t="s">
        <v>59</v>
      </c>
      <c r="E598">
        <v>1</v>
      </c>
      <c r="F598" t="s">
        <v>3</v>
      </c>
      <c r="G598">
        <v>1</v>
      </c>
      <c r="H598" t="s">
        <v>59</v>
      </c>
      <c r="I598">
        <v>0</v>
      </c>
    </row>
    <row r="599" spans="1:9" ht="15.75" customHeight="1" x14ac:dyDescent="0.2">
      <c r="A599" s="15">
        <v>45510</v>
      </c>
      <c r="B599" s="12">
        <f t="shared" si="8"/>
        <v>598</v>
      </c>
      <c r="C599" t="s">
        <v>102</v>
      </c>
      <c r="D599" t="s">
        <v>59</v>
      </c>
      <c r="E599">
        <v>0</v>
      </c>
      <c r="F599" t="s">
        <v>3</v>
      </c>
      <c r="G599">
        <v>0</v>
      </c>
      <c r="H599" t="s">
        <v>8</v>
      </c>
      <c r="I599">
        <v>0</v>
      </c>
    </row>
    <row r="600" spans="1:9" ht="15.75" customHeight="1" x14ac:dyDescent="0.2">
      <c r="A600" s="15">
        <v>45510</v>
      </c>
      <c r="B600" s="12">
        <f t="shared" si="8"/>
        <v>599</v>
      </c>
      <c r="C600" t="s">
        <v>102</v>
      </c>
      <c r="D600" t="s">
        <v>59</v>
      </c>
      <c r="E600">
        <v>0</v>
      </c>
      <c r="F600" t="s">
        <v>4</v>
      </c>
      <c r="G600">
        <v>0</v>
      </c>
      <c r="H600" t="s">
        <v>59</v>
      </c>
      <c r="I600">
        <v>4</v>
      </c>
    </row>
    <row r="601" spans="1:9" ht="15.75" customHeight="1" x14ac:dyDescent="0.2">
      <c r="A601" s="15">
        <v>45510</v>
      </c>
      <c r="B601" s="12">
        <f t="shared" si="8"/>
        <v>600</v>
      </c>
      <c r="C601" t="s">
        <v>102</v>
      </c>
      <c r="D601" t="s">
        <v>57</v>
      </c>
      <c r="E601">
        <v>0</v>
      </c>
      <c r="F601" t="s">
        <v>3</v>
      </c>
      <c r="G601">
        <v>2</v>
      </c>
      <c r="H601" t="s">
        <v>8</v>
      </c>
      <c r="I601">
        <v>0</v>
      </c>
    </row>
    <row r="602" spans="1:9" ht="15.75" customHeight="1" x14ac:dyDescent="0.2">
      <c r="A602" s="15">
        <v>45510</v>
      </c>
      <c r="B602" s="12">
        <f t="shared" si="8"/>
        <v>601</v>
      </c>
      <c r="C602" t="s">
        <v>102</v>
      </c>
      <c r="D602" t="s">
        <v>57</v>
      </c>
      <c r="E602">
        <v>0</v>
      </c>
      <c r="F602" t="s">
        <v>3</v>
      </c>
      <c r="G602">
        <v>0</v>
      </c>
      <c r="H602" t="s">
        <v>57</v>
      </c>
      <c r="I602">
        <v>0</v>
      </c>
    </row>
    <row r="603" spans="1:9" ht="15.75" customHeight="1" x14ac:dyDescent="0.2">
      <c r="A603" s="15">
        <v>45636</v>
      </c>
      <c r="B603" s="12">
        <f t="shared" si="8"/>
        <v>602</v>
      </c>
      <c r="C603" t="s">
        <v>102</v>
      </c>
      <c r="D603" t="s">
        <v>60</v>
      </c>
      <c r="E603">
        <v>0</v>
      </c>
      <c r="F603" t="s">
        <v>3</v>
      </c>
      <c r="G603">
        <v>4</v>
      </c>
      <c r="H603" t="s">
        <v>8</v>
      </c>
      <c r="I603">
        <v>0</v>
      </c>
    </row>
    <row r="604" spans="1:9" ht="15.75" customHeight="1" x14ac:dyDescent="0.2">
      <c r="A604" s="15">
        <v>45654</v>
      </c>
      <c r="B604" s="12">
        <f t="shared" si="8"/>
        <v>603</v>
      </c>
      <c r="C604" t="s">
        <v>102</v>
      </c>
      <c r="D604" t="s">
        <v>60</v>
      </c>
      <c r="E604">
        <v>1</v>
      </c>
      <c r="F604" t="s">
        <v>3</v>
      </c>
      <c r="G604">
        <v>1</v>
      </c>
      <c r="H604" t="s">
        <v>60</v>
      </c>
      <c r="I604">
        <v>0</v>
      </c>
    </row>
    <row r="605" spans="1:9" ht="15.75" customHeight="1" x14ac:dyDescent="0.2">
      <c r="A605" s="17">
        <v>45846</v>
      </c>
      <c r="B605" s="12">
        <f t="shared" si="8"/>
        <v>604</v>
      </c>
      <c r="C605" t="s">
        <v>102</v>
      </c>
      <c r="D605" t="s">
        <v>120</v>
      </c>
      <c r="E605">
        <v>0</v>
      </c>
      <c r="F605" t="s">
        <v>3</v>
      </c>
      <c r="G605">
        <v>1</v>
      </c>
      <c r="H605" t="s">
        <v>120</v>
      </c>
      <c r="I605">
        <v>0</v>
      </c>
    </row>
    <row r="606" spans="1:9" ht="15.75" customHeight="1" x14ac:dyDescent="0.2">
      <c r="A606" s="17">
        <v>45846</v>
      </c>
      <c r="B606" s="12">
        <f t="shared" si="8"/>
        <v>605</v>
      </c>
      <c r="C606" t="s">
        <v>102</v>
      </c>
      <c r="D606" t="s">
        <v>121</v>
      </c>
      <c r="E606">
        <v>1</v>
      </c>
      <c r="F606" t="s">
        <v>4</v>
      </c>
      <c r="G606">
        <v>0</v>
      </c>
      <c r="H606" t="s">
        <v>8</v>
      </c>
      <c r="I606">
        <v>5</v>
      </c>
    </row>
    <row r="607" spans="1:9" ht="15.75" customHeight="1" x14ac:dyDescent="0.2">
      <c r="A607" s="17">
        <v>45846</v>
      </c>
      <c r="B607" s="12">
        <f t="shared" si="8"/>
        <v>606</v>
      </c>
      <c r="C607" t="s">
        <v>102</v>
      </c>
      <c r="D607" t="s">
        <v>121</v>
      </c>
      <c r="E607">
        <v>1</v>
      </c>
      <c r="F607" t="s">
        <v>3</v>
      </c>
      <c r="G607">
        <v>1</v>
      </c>
      <c r="H607" t="s">
        <v>8</v>
      </c>
      <c r="I607">
        <v>0</v>
      </c>
    </row>
    <row r="608" spans="1:9" ht="15.75" customHeight="1" x14ac:dyDescent="0.2">
      <c r="A608" s="17">
        <v>45846</v>
      </c>
      <c r="B608" s="12">
        <f t="shared" si="8"/>
        <v>607</v>
      </c>
      <c r="C608" t="s">
        <v>102</v>
      </c>
      <c r="D608" t="s">
        <v>121</v>
      </c>
      <c r="E608">
        <v>0</v>
      </c>
      <c r="F608" t="s">
        <v>3</v>
      </c>
      <c r="G608">
        <v>1</v>
      </c>
      <c r="H608" t="s">
        <v>8</v>
      </c>
      <c r="I608">
        <v>0</v>
      </c>
    </row>
    <row r="609" spans="1:9" ht="15.75" customHeight="1" x14ac:dyDescent="0.2">
      <c r="A609" s="17">
        <v>46017</v>
      </c>
      <c r="B609" s="12">
        <f t="shared" si="8"/>
        <v>608</v>
      </c>
      <c r="C609" t="s">
        <v>87</v>
      </c>
      <c r="D609" t="s">
        <v>60</v>
      </c>
      <c r="E609">
        <v>0</v>
      </c>
      <c r="F609" t="s">
        <v>3</v>
      </c>
      <c r="G609">
        <v>3</v>
      </c>
      <c r="H609" t="s">
        <v>60</v>
      </c>
      <c r="I609">
        <v>0</v>
      </c>
    </row>
    <row r="610" spans="1:9" ht="15.75" customHeight="1" x14ac:dyDescent="0.2">
      <c r="A610" s="17">
        <v>46017</v>
      </c>
      <c r="B610" s="12">
        <f t="shared" si="8"/>
        <v>609</v>
      </c>
      <c r="C610" t="s">
        <v>87</v>
      </c>
      <c r="D610" t="s">
        <v>60</v>
      </c>
      <c r="E610">
        <v>1</v>
      </c>
      <c r="F610" t="s">
        <v>3</v>
      </c>
      <c r="G610">
        <v>1</v>
      </c>
      <c r="H610" t="s">
        <v>60</v>
      </c>
      <c r="I610">
        <v>0</v>
      </c>
    </row>
    <row r="611" spans="1:9" ht="15.75" customHeight="1" x14ac:dyDescent="0.2">
      <c r="A611" s="17">
        <v>46017</v>
      </c>
      <c r="B611" s="12">
        <f t="shared" si="8"/>
        <v>610</v>
      </c>
      <c r="C611" t="s">
        <v>87</v>
      </c>
      <c r="D611" t="s">
        <v>60</v>
      </c>
      <c r="E611">
        <v>1</v>
      </c>
      <c r="F611" t="s">
        <v>3</v>
      </c>
      <c r="G611">
        <v>0</v>
      </c>
      <c r="H611" t="s">
        <v>8</v>
      </c>
      <c r="I611">
        <v>0</v>
      </c>
    </row>
    <row r="612" spans="1:9" ht="15.75" customHeight="1" x14ac:dyDescent="0.2">
      <c r="B612" s="12">
        <f t="shared" si="8"/>
        <v>611</v>
      </c>
    </row>
    <row r="613" spans="1:9" ht="15.75" customHeight="1" x14ac:dyDescent="0.2">
      <c r="B613" s="12">
        <f t="shared" si="8"/>
        <v>612</v>
      </c>
    </row>
    <row r="614" spans="1:9" ht="15.75" customHeight="1" x14ac:dyDescent="0.2"/>
    <row r="615" spans="1:9" ht="15.75" customHeight="1" x14ac:dyDescent="0.2"/>
    <row r="616" spans="1:9" ht="15.75" customHeight="1" x14ac:dyDescent="0.2">
      <c r="A616" s="2" t="s">
        <v>114</v>
      </c>
      <c r="B616" s="2" t="s">
        <v>113</v>
      </c>
      <c r="C616" t="s">
        <v>116</v>
      </c>
      <c r="D616" s="2" t="s">
        <v>115</v>
      </c>
    </row>
    <row r="617" spans="1:9" ht="15.75" customHeight="1" x14ac:dyDescent="0.2">
      <c r="A617" s="16">
        <f>COUNTA(Sheet1!$E$2:$E$613)</f>
        <v>610</v>
      </c>
      <c r="B617" s="16">
        <f>SUM(Sheet1!$E$2:$E$613)</f>
        <v>347</v>
      </c>
      <c r="C617">
        <f>A617-B617</f>
        <v>263</v>
      </c>
      <c r="D617" s="4">
        <f>B617/A617</f>
        <v>0.56885245901639347</v>
      </c>
    </row>
    <row r="618" spans="1:9" ht="15.75" customHeight="1" x14ac:dyDescent="0.2"/>
    <row r="619" spans="1:9" ht="15.75" customHeight="1" x14ac:dyDescent="0.2"/>
    <row r="620" spans="1:9" ht="15.75" customHeight="1" x14ac:dyDescent="0.2"/>
    <row r="621" spans="1:9" ht="15.75" customHeight="1" x14ac:dyDescent="0.2"/>
    <row r="622" spans="1:9" ht="15.75" customHeight="1" x14ac:dyDescent="0.2"/>
    <row r="623" spans="1:9" ht="15.75" customHeight="1" x14ac:dyDescent="0.2"/>
    <row r="624" spans="1:9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ageMargins left="0" right="0" top="0" bottom="0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Sheet5</vt:lpstr>
      <vt:lpstr>Sheet9</vt:lpstr>
      <vt:lpstr>Sheet2</vt:lpstr>
      <vt:lpstr>Sheet1</vt:lpstr>
      <vt:lpstr>Sheet1!solver_opt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teddyjanka@gmail.com</dc:creator>
  <dcterms:created xsi:type="dcterms:W3CDTF">2017-03-31T13:25:49Z</dcterms:created>
</cp:coreProperties>
</file>